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 Guide" sheetId="1" r:id="rId5"/>
    <sheet state="visible" name="Dashboard" sheetId="2" r:id="rId6"/>
    <sheet state="visible" name="Daily Log" sheetId="3" r:id="rId7"/>
    <sheet state="visible" name="Artifacts" sheetId="4" r:id="rId8"/>
    <sheet state="visible" name="Weekly Review" sheetId="5" r:id="rId9"/>
    <sheet state="visible" name="Metrics" sheetId="6" r:id="rId10"/>
    <sheet state="visible" name="Rewards" sheetId="7" r:id="rId11"/>
    <sheet state="visible" name="Reference" sheetId="8" r:id="rId12"/>
  </sheets>
  <definedNames/>
  <calcPr/>
</workbook>
</file>

<file path=xl/sharedStrings.xml><?xml version="1.0" encoding="utf-8"?>
<sst xmlns="http://schemas.openxmlformats.org/spreadsheetml/2006/main" count="404" uniqueCount="214">
  <si>
    <t>SETUP GUIDE</t>
  </si>
  <si>
    <t>Complete these steps before you start logging. Takes 30–60 minutes once. Skipping any step weakens the system.</t>
  </si>
  <si>
    <t>Step 1</t>
  </si>
  <si>
    <t>Name your channels</t>
  </si>
  <si>
    <t>Replace 'Channel 1', 'Channel 2', 'Channel 3' with your actual channel names throughout this workbook:
• Daily Log column D dropdown (right-click cell → Data Validation → edit list)
• Dashboard rows 12–14 and 25–27 (column A)
• Weekly Review section headers
• Metrics tab section headers
Rule: Max 3 active channels. 4 is the hard ceiling. Past that, none get enough pressure.</t>
  </si>
  <si>
    <t>Step 2</t>
  </si>
  <si>
    <t>Define each channel</t>
  </si>
  <si>
    <t>In the Reference tab, fill in the Channel Taxonomy for each channel:
• One-sentence channel definition (what does 'flowing' look like once it connects?)
• 5–8 specific dig activities that produce artifacts
• 4–6 specific drift activities — the ones that feel like work but don't deepen the channel
The drift list is more important than the dig list. Be honest.</t>
  </si>
  <si>
    <t>Step 3</t>
  </si>
  <si>
    <t>Set your breakthrough markers</t>
  </si>
  <si>
    <t>In the Metrics tab, replace the placeholder breakthrough markers with your own.
These must be specific, pre-defined thresholds — not vague aspirations.
Example: '100 weekly active users sustained over 4 weeks' not 'lots of users'.
Without markers, you cannot recognize when dig-mode should end. Define them now.</t>
  </si>
  <si>
    <t>Step 4</t>
  </si>
  <si>
    <t>Customize the reward menu</t>
  </si>
  <si>
    <t>In the Rewards tab, replace the placeholder reward names with things you actually want.
Keep the three-tier structure (Recovery / Investment / Experience) and the currency split.
Recovery rewards are priced in Points only.
Investment rewards are priced in Digs only.
Experience rewards require both currencies.
Adjust prices after 4 weeks of real data — not before.</t>
  </si>
  <si>
    <t>Step 5</t>
  </si>
  <si>
    <t>Define your gain actions</t>
  </si>
  <si>
    <t>In the Reference tab, list specific actions that qualify for each gain category:
• Physical Gain: e.g. 45-min workout, 5km run, yoga session, meal prep
• Mental Gain: e.g. deliberate vocabulary study, reading a nonfiction chapter with notes
• Spiritual Gain: e.g. morning prayer, scripture reading, fasting, worship
Vague categories get gamed. Specific lists don't.</t>
  </si>
  <si>
    <t>Step 6</t>
  </si>
  <si>
    <t>Define your artifact types</t>
  </si>
  <si>
    <t>In the Artifacts tab, the artifact type dropdown has generic entries.
Update it to match your channels (right-click any cell in column C → Data Validation).
Examples: for a product channel: 'Feature Shipped', 'User Conversation', 'Distribution Experiment'
For a trading channel: 'Trade Logged', 'Backtest Run', 'Log Review', 'Risk Rule Update'</t>
  </si>
  <si>
    <t>Step 7</t>
  </si>
  <si>
    <t>Log your first week without optimizing</t>
  </si>
  <si>
    <t>Start logging. Every event, as it happens — not reconstructed at end of day.
Don't change point values, reward prices, or channel definitions during week one.
Goal of week one: build the logging habit and calibrate your intuition for dig vs drift.
You will notice drift you were previously blind to. That noticing is the point.</t>
  </si>
  <si>
    <t>Step 8</t>
  </si>
  <si>
    <t>Tune at week four</t>
  </si>
  <si>
    <t>After four weeks of real data, revisit:
• Are the point values producing a meaningful weekly total? (Target: 100–150 pts / good week)
• Are the reward prices reachable but not trivial?
• Do the channel floors feel sustainable?
• Are drift patterns repeating in your Weekly Reviews?
Make calibration adjustments here, not in week one.</t>
  </si>
  <si>
    <t>DASHBOARD</t>
  </si>
  <si>
    <t>Check this daily. All numbers update automatically from Daily Log and Rewards.</t>
  </si>
  <si>
    <t>CURRENT BALANCES</t>
  </si>
  <si>
    <t>Total Points Earned</t>
  </si>
  <si>
    <t>Points Spent</t>
  </si>
  <si>
    <t>POINT BALANCE</t>
  </si>
  <si>
    <t>Total Digs Earned</t>
  </si>
  <si>
    <t>Digs Spent</t>
  </si>
  <si>
    <t>DIG BALANCE</t>
  </si>
  <si>
    <t>THIS WEEK</t>
  </si>
  <si>
    <t>Today</t>
  </si>
  <si>
    <t>Week #</t>
  </si>
  <si>
    <t>Year</t>
  </si>
  <si>
    <t>Channel</t>
  </si>
  <si>
    <t>Digs This Week</t>
  </si>
  <si>
    <t>Points This Week</t>
  </si>
  <si>
    <t>Last Dig Date</t>
  </si>
  <si>
    <t>Days Since Last Dig</t>
  </si>
  <si>
    <t>Channel 1</t>
  </si>
  <si>
    <t>Channel 2</t>
  </si>
  <si>
    <t>Channel 3</t>
  </si>
  <si>
    <t>ACTIVE BOOSTS (last 24 hours)</t>
  </si>
  <si>
    <t>Category</t>
  </si>
  <si>
    <t>Last Activation</t>
  </si>
  <si>
    <t>Hours Since</t>
  </si>
  <si>
    <t>Status</t>
  </si>
  <si>
    <t>Physical</t>
  </si>
  <si>
    <t>Mental</t>
  </si>
  <si>
    <t>Spiritual</t>
  </si>
  <si>
    <t>TODAY'S FLOOR CHECK</t>
  </si>
  <si>
    <t>Minimum: 1 full dig per channel you've committed to today. Rotate 2 channels per day across the week.</t>
  </si>
  <si>
    <t>Today's Digs</t>
  </si>
  <si>
    <t>Floor Met?</t>
  </si>
  <si>
    <t>DAILY LOG</t>
  </si>
  <si>
    <t>One row per event. Log in real time — end-of-day reconstruction is unreliable. Base Points, Final Points, and Digs calculate automatically. You only enter: Date, Time, Type, Channel, Duration, Artifact (Yes/Half/No/N/A), Boost Category, Boost Multiplier, and Notes.</t>
  </si>
  <si>
    <t>Date</t>
  </si>
  <si>
    <t>Time</t>
  </si>
  <si>
    <t>Type</t>
  </si>
  <si>
    <t>Duration (min)</t>
  </si>
  <si>
    <t>Artifact</t>
  </si>
  <si>
    <t>Boost Category</t>
  </si>
  <si>
    <t>Boost Multiplier</t>
  </si>
  <si>
    <t>Notes</t>
  </si>
  <si>
    <t>Base Points</t>
  </si>
  <si>
    <t>Final Points</t>
  </si>
  <si>
    <t>Digs</t>
  </si>
  <si>
    <t>yyyy-mm-dd</t>
  </si>
  <si>
    <t>hh:mm</t>
  </si>
  <si>
    <t>← dropdown</t>
  </si>
  <si>
    <t>e.g. 90</t>
  </si>
  <si>
    <t>1 / 1.5 / 2 / 2.5</t>
  </si>
  <si>
    <t>Brief note on what you worked on / artifact produced</t>
  </si>
  <si>
    <t>auto</t>
  </si>
  <si>
    <t>ARTIFACTS</t>
  </si>
  <si>
    <t>Log every substantial artifact here — one row per output. This becomes your portfolio over time. Look back through it quarterly. Replace the artifact types below with ones that match your channels.</t>
  </si>
  <si>
    <t>Artifact Type</t>
  </si>
  <si>
    <t>Description</t>
  </si>
  <si>
    <t>Link / Reference</t>
  </si>
  <si>
    <t>WEEKLY REVIEW</t>
  </si>
  <si>
    <t>Every Sunday evening. 30–45 minutes. Three questions per channel + cross-cutting. Auto-pulls this week's totals.</t>
  </si>
  <si>
    <t>Date Range</t>
  </si>
  <si>
    <t>Total Digs</t>
  </si>
  <si>
    <t>Total Points</t>
  </si>
  <si>
    <t>← This week's snapshot</t>
  </si>
  <si>
    <t>Channel 1 — WEEKLY REVIEW</t>
  </si>
  <si>
    <t>1. Did the channel get deeper this week? Name a concrete artifact as evidence — not a feeling.</t>
  </si>
  <si>
    <t>2. What activity was high-input but low-depth? (Find the leak — it's always there.)</t>
  </si>
  <si>
    <t>3. What is the ONE highest-leverage dig for next week? Singular.</t>
  </si>
  <si>
    <t>4. Leading metrics check — are the weekly activity counts on track?</t>
  </si>
  <si>
    <t>5. Drift moments noticed this week (be honest):</t>
  </si>
  <si>
    <t>Channel 2 — WEEKLY REVIEW</t>
  </si>
  <si>
    <t>Channel 3 — WEEKLY REVIEW</t>
  </si>
  <si>
    <t>CROSS-CUTTING</t>
  </si>
  <si>
    <t>Points vs Digs balance — did supports keep pace with channel work? High digs + low points = burnout risk.</t>
  </si>
  <si>
    <t>Reward spending this week — what did you cash out, and was it worth it?</t>
  </si>
  <si>
    <t>Anything to adjust in next week's structure or channel rotation?</t>
  </si>
  <si>
    <t>CHANNEL METRICS</t>
  </si>
  <si>
    <t>Update monthly. Replace the placeholder metric names with ones specific to your channels. Leading = activity counts you control (weekly). Lagging = outcome indicators (monthly). Breakthrough markers = pre-defined thresholds where dig-mode ends and flow-mode begins.</t>
  </si>
  <si>
    <t>LEADING METRICS (weekly)</t>
  </si>
  <si>
    <t>Metric</t>
  </si>
  <si>
    <t>Last Month</t>
  </si>
  <si>
    <t>This Month</t>
  </si>
  <si>
    <t>Δ</t>
  </si>
  <si>
    <t>Target / Notes</t>
  </si>
  <si>
    <t>Source</t>
  </si>
  <si>
    <t>[Define your primary leading metric — something you produce weekly]</t>
  </si>
  <si>
    <t>count</t>
  </si>
  <si>
    <t>[Define a second leading metric — e.g. conversations, outputs, experiments]</t>
  </si>
  <si>
    <t>[Define a third leading metric — ideally something distribution-related]</t>
  </si>
  <si>
    <t>[Define a fourth leading metric — optional]</t>
  </si>
  <si>
    <t>trend</t>
  </si>
  <si>
    <t>LAGGING METRICS (monthly)</t>
  </si>
  <si>
    <t>[Define your primary lagging metric — the outcome this channel is building toward]</t>
  </si>
  <si>
    <t>count/trend</t>
  </si>
  <si>
    <t>[Define a second lagging metric — e.g. revenue, rate, audience size]</t>
  </si>
  <si>
    <t>[Define a third lagging metric]</t>
  </si>
  <si>
    <t>[Define a fourth lagging metric — optional]</t>
  </si>
  <si>
    <t>BREAKTHROUGH MARKERS</t>
  </si>
  <si>
    <t>Marker</t>
  </si>
  <si>
    <t>Hit?</t>
  </si>
  <si>
    <t>Date Hit</t>
  </si>
  <si>
    <t>[First breakthrough marker — the earliest signal the channel has connected]</t>
  </si>
  <si>
    <t>No</t>
  </si>
  <si>
    <t>[Second breakthrough marker — a stronger confirmation of flow]</t>
  </si>
  <si>
    <t>[Third breakthrough marker — the threshold you'd consider flow-mode achieved]</t>
  </si>
  <si>
    <t>[Fourth marker — optional stretch target]</t>
  </si>
  <si>
    <t>REWARDS</t>
  </si>
  <si>
    <t>Customize the menu to match what you actually want — generic rewards don't motivate. Keep the three-tier structure (Recovery / Investment / Experience) and the currency split. Spending rewards is part of the system — don't hoard.</t>
  </si>
  <si>
    <t>REWARD MENU</t>
  </si>
  <si>
    <t>Reward</t>
  </si>
  <si>
    <t>Points Cost</t>
  </si>
  <si>
    <t>Digs Cost</t>
  </si>
  <si>
    <t>Requires Both?</t>
  </si>
  <si>
    <t>Recovery</t>
  </si>
  <si>
    <t>[Your recovery reward — e.g. Movie evening]</t>
  </si>
  <si>
    <t>Customize name and cost</t>
  </si>
  <si>
    <t>[Your recovery reward — e.g. Favourite meal out]</t>
  </si>
  <si>
    <t>[Your recovery reward — e.g. Half-day off-grid]</t>
  </si>
  <si>
    <t>[Your recovery reward — e.g. Full rest day, no tracking]</t>
  </si>
  <si>
    <t>Investment</t>
  </si>
  <si>
    <t>[Small tool / book / subscription — ≤$15]</t>
  </si>
  <si>
    <t>[Course or paid resource — $30–50]</t>
  </si>
  <si>
    <t>[Significant tool or equipment — $100+]</t>
  </si>
  <si>
    <t>Experience</t>
  </si>
  <si>
    <t>[Day trip or local experience]</t>
  </si>
  <si>
    <t>Both</t>
  </si>
  <si>
    <t>Requires balanced output</t>
  </si>
  <si>
    <t>[Weekend retreat or getaway]</t>
  </si>
  <si>
    <t>[Significant trip or event]</t>
  </si>
  <si>
    <t>SPEND LOG</t>
  </si>
  <si>
    <t>REFERENCE</t>
  </si>
  <si>
    <t>Point values, boost mechanics, channel taxonomy (fill yours in below). Re-read weekly — especially the drift columns.</t>
  </si>
  <si>
    <t>POINT VALUES</t>
  </si>
  <si>
    <t>Activity</t>
  </si>
  <si>
    <t>Points</t>
  </si>
  <si>
    <t>Dig block — 90 min phoneless, full artifact produced</t>
  </si>
  <si>
    <t>10</t>
  </si>
  <si>
    <t>1.0</t>
  </si>
  <si>
    <t>Multiplied by active boost stack</t>
  </si>
  <si>
    <t>Dig block — 90 min phoneless, no artifact produced</t>
  </si>
  <si>
    <t>5</t>
  </si>
  <si>
    <t>0.5</t>
  </si>
  <si>
    <t>Effort credit, half depth</t>
  </si>
  <si>
    <t>Extracurricular focused block (90 min)</t>
  </si>
  <si>
    <t>0</t>
  </si>
  <si>
    <t>Non-channel learning, hobbies</t>
  </si>
  <si>
    <t>Gain action (Physical / Mental / Spiritual)</t>
  </si>
  <si>
    <t>8</t>
  </si>
  <si>
    <t>+ activates 1.5× boost for 24h</t>
  </si>
  <si>
    <t>Day Job hour</t>
  </si>
  <si>
    <t>Tracked for visibility — no inflation</t>
  </si>
  <si>
    <t>BOOST MECHANICS</t>
  </si>
  <si>
    <t>• Each gain action (Physical / Mental / Spiritual) activates a 1.5× point multiplier on dig blocks for 24h.</t>
  </si>
  <si>
    <t>• Boosts STACK ADDITIVELY: 1 active = 1.5×  |  2 active = 2.0×  |  3 active = 2.5×</t>
  </si>
  <si>
    <t>• 24h COOLDOWN per category after activation. To stack all three, invest across all three domains.</t>
  </si>
  <si>
    <t>• Apply the multiplier in the 'Boost Multiplier' column (col H) of Daily Log when logging dig blocks.</t>
  </si>
  <si>
    <t>• Dashboard shows live boost status (ACTIVE / READY) — check before logging a dig block.</t>
  </si>
  <si>
    <t>• Boosts reward the integrated person: training + deliberate learning + spiritual practice.</t>
  </si>
  <si>
    <t>GAIN ACTION DEFINITIONS (fill in your specifics)</t>
  </si>
  <si>
    <t>Physical Gain</t>
  </si>
  <si>
    <t>[List actions that qualify — e.g. 45-min workout, 5km run, yoga, cold shower]</t>
  </si>
  <si>
    <t>Mental Gain</t>
  </si>
  <si>
    <t>[List actions that qualify — e.g. deliberate vocabulary study, nonfiction reading with notes]</t>
  </si>
  <si>
    <t>Spiritual Gain</t>
  </si>
  <si>
    <t>[List actions that qualify — e.g. morning prayer, scripture reading, fasting, worship]</t>
  </si>
  <si>
    <t>CHANNEL TAXONOMY — Fill in your Dig and Drift activities</t>
  </si>
  <si>
    <t>For each channel, list 5–8 dig activities and 4–6 drift activities. Be specific — 'worked on project' is not a dig activity. 'Pushed commit touching user-facing activation path' is.</t>
  </si>
  <si>
    <t>DIGGING ✓</t>
  </si>
  <si>
    <t>DRIFT ✗</t>
  </si>
  <si>
    <t>[Dig activity 1 — something that produces an artifact]</t>
  </si>
  <si>
    <t>[Drift activity 1 — feels like work, doesn't deepen channel]</t>
  </si>
  <si>
    <t>[Dig activity 2 — something that produces an artifact]</t>
  </si>
  <si>
    <t>[Drift activity 2 — feels like work, doesn't deepen channel]</t>
  </si>
  <si>
    <t>[Dig activity 3 — something that produces an artifact]</t>
  </si>
  <si>
    <t>[Drift activity 3 — feels like work, doesn't deepen channel]</t>
  </si>
  <si>
    <t>[Dig activity 4 — something that produces an artifact]</t>
  </si>
  <si>
    <t>[Drift activity 4 — feels like work, doesn't deepen channel]</t>
  </si>
  <si>
    <t>[Dig activity 5 — something that produces an artifact]</t>
  </si>
  <si>
    <t>[Drift activity 5 — feels like work, doesn't deepen channel]</t>
  </si>
  <si>
    <t>[Dig activity 6 — something that produces an artifact]</t>
  </si>
  <si>
    <t>[Drift activity 6 — feels like work, doesn't deepen channel]</t>
  </si>
  <si>
    <t>WEEKLY YIELD BENCHMARKS</t>
  </si>
  <si>
    <t>• Minimum viable week: ~100 points, ~8 digs — channels alive but barely.</t>
  </si>
  <si>
    <t>• Good week: ~150 points, ~12 digs — channels deepening.</t>
  </si>
  <si>
    <t>• Great week (with boosts active): ~250 points, ~18 digs — compounding.</t>
  </si>
  <si>
    <t>• Calibrate these against your real 4-week average. Adjust point values and reward prices at week four, not before.</t>
  </si>
  <si>
    <t>• If points and digs both fall simultaneously: check for drift (doing a lot but producing nothing).</t>
  </si>
  <si>
    <t>• If points fall while digs hold: you're burning supports to feed channels — risk of crash in 2–4 weeks.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</si>
</sst>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;0;&quot;&quot;"/>
  </numFmts>
  <fonts count="20">
    <font>
      <sz val="11.0"/>
      <color theme="1"/>
      <name val="Calibri"/>
      <scheme val="minor"/>
    </font>
    <font>
      <b/>
      <sz val="16.0"/>
      <color rgb="FF1F2A44"/>
      <name val="Arial"/>
    </font>
    <font>
      <i/>
      <sz val="10.0"/>
      <color rgb="FF555555"/>
      <name val="Arial"/>
    </font>
    <font>
      <b/>
      <sz val="10.0"/>
      <color rgb="FF0E7C7B"/>
      <name val="Arial"/>
    </font>
    <font>
      <b/>
      <sz val="10.0"/>
      <color rgb="FF000000"/>
      <name val="Arial"/>
    </font>
    <font/>
    <font>
      <sz val="11.0"/>
      <color theme="1"/>
      <name val="Calibri"/>
    </font>
    <font>
      <sz val="10.0"/>
      <color rgb="FF4A5568"/>
      <name val="Arial"/>
    </font>
    <font>
      <b/>
      <sz val="12.0"/>
      <color rgb="FF1F2A44"/>
      <name val="Arial"/>
    </font>
    <font>
      <sz val="10.0"/>
      <color rgb="FF000000"/>
      <name val="Arial"/>
    </font>
    <font>
      <b/>
      <sz val="11.0"/>
      <color rgb="FFFFFFFF"/>
      <name val="Arial"/>
    </font>
    <font>
      <i/>
      <sz val="9.0"/>
      <color rgb="FF999999"/>
      <name val="Arial"/>
    </font>
    <font>
      <color theme="1"/>
      <name val="Calibri"/>
      <scheme val="minor"/>
    </font>
    <font>
      <i/>
      <sz val="10.0"/>
      <color rgb="FF4A5568"/>
      <name val="Arial"/>
    </font>
    <font>
      <i/>
      <sz val="10.0"/>
      <color rgb="FF888888"/>
      <name val="Arial"/>
    </font>
    <font>
      <b/>
      <sz val="10.0"/>
      <color rgb="FFD4A017"/>
      <name val="Arial"/>
    </font>
    <font>
      <b/>
      <sz val="10.0"/>
      <color rgb="FFB85450"/>
      <name val="Arial"/>
    </font>
    <font>
      <i/>
      <sz val="9.0"/>
      <color rgb="FF4A5568"/>
      <name val="Arial"/>
    </font>
    <font>
      <b/>
      <sz val="11.0"/>
      <color rgb="FF1F2A44"/>
      <name val="Arial"/>
    </font>
    <font>
      <i/>
      <sz val="9.0"/>
      <color rgb="FFAAAAAA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6EEF5"/>
        <bgColor rgb="FFE6EEF5"/>
      </patternFill>
    </fill>
    <fill>
      <patternFill patternType="solid">
        <fgColor rgb="FFE8F4EA"/>
        <bgColor rgb="FFE8F4EA"/>
      </patternFill>
    </fill>
    <fill>
      <patternFill patternType="solid">
        <fgColor rgb="FF0E7C7B"/>
        <bgColor rgb="FF0E7C7B"/>
      </patternFill>
    </fill>
    <fill>
      <patternFill patternType="solid">
        <fgColor rgb="FFFBF1D9"/>
        <bgColor rgb="FFFBF1D9"/>
      </patternFill>
    </fill>
    <fill>
      <patternFill patternType="solid">
        <fgColor rgb="FFD4A017"/>
        <bgColor rgb="FFD4A017"/>
      </patternFill>
    </fill>
    <fill>
      <patternFill patternType="solid">
        <fgColor rgb="FF1F2A44"/>
        <bgColor rgb="FF1F2A44"/>
      </patternFill>
    </fill>
    <fill>
      <patternFill patternType="solid">
        <fgColor rgb="FFFAFAFA"/>
        <bgColor rgb="FFFAFAFA"/>
      </patternFill>
    </fill>
    <fill>
      <patternFill patternType="solid">
        <fgColor rgb="FFF4F4F4"/>
        <bgColor rgb="FFF4F4F4"/>
      </patternFill>
    </fill>
    <fill>
      <patternFill patternType="solid">
        <fgColor rgb="FFFCE4E4"/>
        <bgColor rgb="FFFCE4E4"/>
      </patternFill>
    </fill>
    <fill>
      <patternFill patternType="solid">
        <fgColor rgb="FFB85450"/>
        <bgColor rgb="FFB85450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1" fillId="0" fontId="6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shrinkToFit="0" vertical="bottom" wrapText="0"/>
    </xf>
    <xf borderId="5" fillId="0" fontId="5" numFmtId="0" xfId="0" applyBorder="1" applyFont="1"/>
    <xf borderId="6" fillId="0" fontId="5" numFmtId="0" xfId="0" applyBorder="1" applyFont="1"/>
    <xf borderId="1" fillId="0" fontId="4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3" fontId="8" numFmtId="0" xfId="0" applyAlignment="1" applyBorder="1" applyFill="1" applyFont="1">
      <alignment shrinkToFit="0" vertical="bottom" wrapText="0"/>
    </xf>
    <xf borderId="1" fillId="0" fontId="9" numFmtId="164" xfId="0" applyAlignment="1" applyBorder="1" applyFont="1" applyNumberForma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ill="1" applyFont="1">
      <alignment shrinkToFit="0" vertical="bottom" wrapText="0"/>
    </xf>
    <xf borderId="1" fillId="6" fontId="10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9" fontId="9" numFmtId="165" xfId="0" applyAlignment="1" applyBorder="1" applyFill="1" applyFont="1" applyNumberFormat="1">
      <alignment horizontal="center" shrinkToFit="0" vertical="center" wrapText="1"/>
    </xf>
    <xf borderId="0" fillId="0" fontId="12" numFmtId="0" xfId="0" applyFont="1"/>
    <xf borderId="1" fillId="2" fontId="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shrinkToFit="0" vertical="top" wrapText="1"/>
    </xf>
    <xf borderId="4" fillId="9" fontId="6" numFmtId="0" xfId="0" applyAlignment="1" applyBorder="1" applyFont="1">
      <alignment horizontal="left" shrinkToFit="0" vertical="top" wrapText="1"/>
    </xf>
    <xf borderId="4" fillId="9" fontId="6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shrinkToFit="0" vertical="bottom" wrapText="0"/>
    </xf>
    <xf borderId="4" fillId="10" fontId="16" numFmtId="0" xfId="0" applyAlignment="1" applyBorder="1" applyFill="1" applyFont="1">
      <alignment shrinkToFit="0" vertical="bottom" wrapText="0"/>
    </xf>
    <xf borderId="1" fillId="11" fontId="10" numFmtId="0" xfId="0" applyAlignment="1" applyBorder="1" applyFill="1" applyFont="1">
      <alignment horizontal="center" shrinkToFit="0" vertical="center" wrapText="1"/>
    </xf>
    <xf borderId="2" fillId="11" fontId="10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top" wrapText="1"/>
    </xf>
    <xf borderId="4" fillId="12" fontId="4" numFmtId="0" xfId="0" applyAlignment="1" applyBorder="1" applyFill="1" applyFont="1">
      <alignment shrinkToFit="0" vertical="bottom" wrapText="0"/>
    </xf>
    <xf borderId="4" fillId="9" fontId="14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 shrinkToFit="0" vertical="top" wrapText="1"/>
    </xf>
    <xf borderId="4" fillId="12" fontId="18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9" numFmtId="0" xfId="0" applyAlignment="1" applyFont="1">
      <alignment horizontal="left" shrinkToFit="0" vertical="top" wrapText="1"/>
    </xf>
  </cellXfs>
  <cellStyles count="1">
    <cellStyle xfId="0" name="Normal" builtinId="0"/>
  </cellStyles>
  <dxfs count="3">
    <dxf>
      <font>
        <b/>
        <sz val="10.0"/>
        <color rgb="FFB85450"/>
        <name val="Arial"/>
      </font>
      <fill>
        <patternFill patternType="solid">
          <fgColor rgb="FFFCE4E4"/>
          <bgColor rgb="FFFCE4E4"/>
        </patternFill>
      </fill>
      <border/>
    </dxf>
    <dxf>
      <font>
        <b/>
        <sz val="10.0"/>
        <color rgb="FF155724"/>
        <name val="Arial"/>
      </font>
      <fill>
        <patternFill patternType="solid">
          <fgColor rgb="FFD4EDDA"/>
          <bgColor rgb="FFD4EDDA"/>
        </patternFill>
      </fill>
      <border/>
    </dxf>
    <dxf>
      <font>
        <sz val="10.0"/>
        <color rgb="FF6C757D"/>
        <name val="Arial"/>
      </font>
      <fill>
        <patternFill patternType="solid">
          <fgColor rgb="FFE2E3E5"/>
          <bgColor rgb="FFE2E3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50.0"/>
    <col customWidth="1" min="4" max="26" width="8.71"/>
  </cols>
  <sheetData>
    <row r="1">
      <c r="A1" s="1" t="s">
        <v>0</v>
      </c>
    </row>
    <row r="2" ht="27.75" customHeight="1">
      <c r="A2" s="2" t="s">
        <v>1</v>
      </c>
    </row>
    <row r="4" ht="21.75" customHeight="1">
      <c r="A4" s="3" t="s">
        <v>2</v>
      </c>
      <c r="B4" s="4" t="s">
        <v>3</v>
      </c>
      <c r="C4" s="5"/>
    </row>
    <row r="5" ht="90.0" customHeight="1">
      <c r="A5" s="6"/>
      <c r="B5" s="7" t="s">
        <v>4</v>
      </c>
      <c r="C5" s="5"/>
    </row>
    <row r="6" ht="21.75" customHeight="1">
      <c r="A6" s="3" t="s">
        <v>5</v>
      </c>
      <c r="B6" s="4" t="s">
        <v>6</v>
      </c>
      <c r="C6" s="5"/>
    </row>
    <row r="7" ht="90.0" customHeight="1">
      <c r="A7" s="6"/>
      <c r="B7" s="7" t="s">
        <v>7</v>
      </c>
      <c r="C7" s="5"/>
    </row>
    <row r="8" ht="21.75" customHeight="1">
      <c r="A8" s="3" t="s">
        <v>8</v>
      </c>
      <c r="B8" s="4" t="s">
        <v>9</v>
      </c>
      <c r="C8" s="5"/>
    </row>
    <row r="9" ht="90.0" customHeight="1">
      <c r="A9" s="6"/>
      <c r="B9" s="7" t="s">
        <v>10</v>
      </c>
      <c r="C9" s="5"/>
    </row>
    <row r="10" ht="21.75" customHeight="1">
      <c r="A10" s="3" t="s">
        <v>11</v>
      </c>
      <c r="B10" s="4" t="s">
        <v>12</v>
      </c>
      <c r="C10" s="5"/>
    </row>
    <row r="11" ht="90.0" customHeight="1">
      <c r="A11" s="6"/>
      <c r="B11" s="7" t="s">
        <v>13</v>
      </c>
      <c r="C11" s="5"/>
    </row>
    <row r="12" ht="21.75" customHeight="1">
      <c r="A12" s="3" t="s">
        <v>14</v>
      </c>
      <c r="B12" s="4" t="s">
        <v>15</v>
      </c>
      <c r="C12" s="5"/>
    </row>
    <row r="13" ht="90.0" customHeight="1">
      <c r="A13" s="6"/>
      <c r="B13" s="7" t="s">
        <v>16</v>
      </c>
      <c r="C13" s="5"/>
    </row>
    <row r="14" ht="21.75" customHeight="1">
      <c r="A14" s="3" t="s">
        <v>17</v>
      </c>
      <c r="B14" s="4" t="s">
        <v>18</v>
      </c>
      <c r="C14" s="5"/>
    </row>
    <row r="15" ht="90.0" customHeight="1">
      <c r="A15" s="6"/>
      <c r="B15" s="7" t="s">
        <v>19</v>
      </c>
      <c r="C15" s="5"/>
    </row>
    <row r="16" ht="21.75" customHeight="1">
      <c r="A16" s="3" t="s">
        <v>20</v>
      </c>
      <c r="B16" s="4" t="s">
        <v>21</v>
      </c>
      <c r="C16" s="5"/>
    </row>
    <row r="17" ht="90.0" customHeight="1">
      <c r="A17" s="6"/>
      <c r="B17" s="7" t="s">
        <v>22</v>
      </c>
      <c r="C17" s="5"/>
    </row>
    <row r="18" ht="21.75" customHeight="1">
      <c r="A18" s="3" t="s">
        <v>23</v>
      </c>
      <c r="B18" s="4" t="s">
        <v>24</v>
      </c>
      <c r="C18" s="5"/>
    </row>
    <row r="19" ht="90.0" customHeight="1">
      <c r="A19" s="6"/>
      <c r="B19" s="7" t="s">
        <v>25</v>
      </c>
      <c r="C19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C1"/>
    <mergeCell ref="A2:C2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9:C9"/>
    <mergeCell ref="B10:C10"/>
    <mergeCell ref="B11:C11"/>
    <mergeCell ref="B12:C12"/>
    <mergeCell ref="B13:C13"/>
    <mergeCell ref="B14:C14"/>
    <mergeCell ref="B15:C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4" width="18.0"/>
    <col customWidth="1" min="5" max="5" width="22.0"/>
    <col customWidth="1" min="6" max="8" width="14.0"/>
    <col customWidth="1" min="9" max="26" width="8.71"/>
  </cols>
  <sheetData>
    <row r="1">
      <c r="A1" s="1" t="s">
        <v>26</v>
      </c>
    </row>
    <row r="2">
      <c r="A2" s="2" t="s">
        <v>27</v>
      </c>
    </row>
    <row r="4">
      <c r="A4" s="8" t="s">
        <v>28</v>
      </c>
      <c r="B4" s="9"/>
      <c r="C4" s="9"/>
      <c r="D4" s="9"/>
      <c r="E4" s="9"/>
      <c r="F4" s="9"/>
      <c r="G4" s="9"/>
      <c r="H4" s="10"/>
    </row>
    <row r="5">
      <c r="A5" s="11" t="s">
        <v>29</v>
      </c>
      <c r="B5" s="12">
        <f>SUMIF('Daily Log'!K6:K205,"&gt;0",'Daily Log'!K6:K205)</f>
        <v>0</v>
      </c>
      <c r="C5" s="13" t="s">
        <v>30</v>
      </c>
      <c r="D5" s="12">
        <f>SUM(Rewards!E19:E118)</f>
        <v>0</v>
      </c>
      <c r="E5" s="13" t="s">
        <v>31</v>
      </c>
      <c r="F5" s="12">
        <f t="shared" ref="F5:F6" si="1">B5-D5</f>
        <v>0</v>
      </c>
    </row>
    <row r="6">
      <c r="A6" s="11" t="s">
        <v>32</v>
      </c>
      <c r="B6" s="12">
        <f>SUMIF('Daily Log'!L6:L205,"&gt;0",'Daily Log'!L6:L205)</f>
        <v>0</v>
      </c>
      <c r="C6" s="13" t="s">
        <v>33</v>
      </c>
      <c r="D6" s="12">
        <f>SUM(Rewards!F19:F118)</f>
        <v>0</v>
      </c>
      <c r="E6" s="13" t="s">
        <v>34</v>
      </c>
      <c r="F6" s="12">
        <f t="shared" si="1"/>
        <v>0</v>
      </c>
    </row>
    <row r="8">
      <c r="A8" s="14" t="s">
        <v>35</v>
      </c>
      <c r="B8" s="9"/>
      <c r="C8" s="9"/>
      <c r="D8" s="9"/>
      <c r="E8" s="9"/>
      <c r="F8" s="9"/>
      <c r="G8" s="9"/>
      <c r="H8" s="10"/>
    </row>
    <row r="9">
      <c r="A9" s="13" t="s">
        <v>36</v>
      </c>
      <c r="B9" s="15">
        <f>TODAY()</f>
        <v>46152</v>
      </c>
      <c r="C9" s="13" t="s">
        <v>37</v>
      </c>
      <c r="D9" s="12">
        <f>WEEKNUM(TODAY(),21)</f>
        <v>19</v>
      </c>
      <c r="E9" s="13" t="s">
        <v>38</v>
      </c>
      <c r="F9" s="12">
        <f>YEAR(TODAY())</f>
        <v>2026</v>
      </c>
    </row>
    <row r="11">
      <c r="A11" s="16" t="s">
        <v>39</v>
      </c>
      <c r="B11" s="16" t="s">
        <v>40</v>
      </c>
      <c r="C11" s="16" t="s">
        <v>41</v>
      </c>
      <c r="D11" s="16" t="s">
        <v>42</v>
      </c>
      <c r="E11" s="16" t="s">
        <v>43</v>
      </c>
    </row>
    <row r="12">
      <c r="A12" s="13" t="s">
        <v>44</v>
      </c>
      <c r="B12" s="12">
        <f>SUMPRODUCT(('Daily Log'!D6:D205=A12)*(IFERROR(WEEKNUM('Daily Log'!A6:A205,21),0)=$D$9)*(IFERROR(YEAR('Daily Log'!A6:A205),0)=$F$9)*'Daily Log'!L6:L205)</f>
        <v>0</v>
      </c>
      <c r="C12" s="12">
        <f>SUMPRODUCT(('Daily Log'!D6:D205=A12)*(IFERROR(WEEKNUM('Daily Log'!A6:A205,21),0)=$D$9)*(IFERROR(YEAR('Daily Log'!A6:A205),0)=$F$9)*'Daily Log'!K6:K205)</f>
        <v>0</v>
      </c>
      <c r="D12" s="15">
        <f>IFERROR(maxifs('Daily Log'!A6:A205,'Daily Log'!D6:D205,A12,'Daily Log'!C6:C205,"Dig Block"),"")</f>
        <v>0</v>
      </c>
      <c r="E12" s="12">
        <f t="shared" ref="E12:E14" si="2">IF(D12="","",TODAY()-D12)</f>
        <v>46152</v>
      </c>
    </row>
    <row r="13">
      <c r="A13" s="13" t="s">
        <v>45</v>
      </c>
      <c r="B13" s="12">
        <f>SUMPRODUCT(('Daily Log'!D6:D205=A13)*(IFERROR(WEEKNUM('Daily Log'!A6:A205,21),0)=$D$9)*(IFERROR(YEAR('Daily Log'!A6:A205),0)=$F$9)*'Daily Log'!L6:L205)</f>
        <v>0</v>
      </c>
      <c r="C13" s="12">
        <f>SUMPRODUCT(('Daily Log'!D6:D205=A13)*(IFERROR(WEEKNUM('Daily Log'!A6:A205,21),0)=$D$9)*(IFERROR(YEAR('Daily Log'!A6:A205),0)=$F$9)*'Daily Log'!K6:K205)</f>
        <v>0</v>
      </c>
      <c r="D13" s="15">
        <f>IFERROR(maxifs('Daily Log'!A6:A205,'Daily Log'!D6:D205,A13,'Daily Log'!C6:C205,"Dig Block"),"")</f>
        <v>0</v>
      </c>
      <c r="E13" s="12">
        <f t="shared" si="2"/>
        <v>46152</v>
      </c>
    </row>
    <row r="14">
      <c r="A14" s="13" t="s">
        <v>46</v>
      </c>
      <c r="B14" s="12">
        <f>SUMPRODUCT(('Daily Log'!D6:D205=A14)*(IFERROR(WEEKNUM('Daily Log'!A6:A205,21),0)=$D$9)*(IFERROR(YEAR('Daily Log'!A6:A205),0)=$F$9)*'Daily Log'!L6:L205)</f>
        <v>0</v>
      </c>
      <c r="C14" s="12">
        <f>SUMPRODUCT(('Daily Log'!D6:D205=A14)*(IFERROR(WEEKNUM('Daily Log'!A6:A205,21),0)=$D$9)*(IFERROR(YEAR('Daily Log'!A6:A205),0)=$F$9)*'Daily Log'!K6:K205)</f>
        <v>0</v>
      </c>
      <c r="D14" s="15">
        <f>IFERROR(maxifs('Daily Log'!A6:A205,'Daily Log'!D6:D205,A14,'Daily Log'!C6:C205,"Dig Block"),"")</f>
        <v>0</v>
      </c>
      <c r="E14" s="12">
        <f t="shared" si="2"/>
        <v>46152</v>
      </c>
    </row>
    <row r="16">
      <c r="A16" s="17" t="s">
        <v>47</v>
      </c>
      <c r="B16" s="9"/>
      <c r="C16" s="9"/>
      <c r="D16" s="9"/>
      <c r="E16" s="9"/>
      <c r="F16" s="9"/>
      <c r="G16" s="9"/>
      <c r="H16" s="10"/>
    </row>
    <row r="17">
      <c r="A17" s="18" t="s">
        <v>48</v>
      </c>
      <c r="B17" s="18" t="s">
        <v>49</v>
      </c>
      <c r="C17" s="18" t="s">
        <v>50</v>
      </c>
      <c r="D17" s="18" t="s">
        <v>51</v>
      </c>
    </row>
    <row r="18">
      <c r="A18" s="13" t="s">
        <v>52</v>
      </c>
      <c r="B18" s="15">
        <f>IFERROR(maxifs('Daily Log'!A6:A205,'Daily Log'!C6:C205,"Gain Action",'Daily Log'!G6:G205,A18),"")</f>
        <v>0</v>
      </c>
      <c r="C18" s="12">
        <f t="shared" ref="C18:C20" si="3">IF(B18="","",ROUND((TODAY()-B18)*24,0))</f>
        <v>1107648</v>
      </c>
      <c r="D18" s="12" t="str">
        <f t="shared" ref="D18:D20" si="4">IF(B18="","READY",IF(C18&lt;24,"ACTIVE","READY"))</f>
        <v>READY</v>
      </c>
    </row>
    <row r="19">
      <c r="A19" s="13" t="s">
        <v>53</v>
      </c>
      <c r="B19" s="15">
        <f>IFERROR(maxifs('Daily Log'!A6:A205,'Daily Log'!C6:C205,"Gain Action",'Daily Log'!G6:G205,A19),"")</f>
        <v>0</v>
      </c>
      <c r="C19" s="12">
        <f t="shared" si="3"/>
        <v>1107648</v>
      </c>
      <c r="D19" s="12" t="str">
        <f t="shared" si="4"/>
        <v>READY</v>
      </c>
    </row>
    <row r="20">
      <c r="A20" s="13" t="s">
        <v>54</v>
      </c>
      <c r="B20" s="15">
        <f>IFERROR(maxifs('Daily Log'!A6:A205,'Daily Log'!C6:C205,"Gain Action",'Daily Log'!G6:G205,A20),"")</f>
        <v>0</v>
      </c>
      <c r="C20" s="12">
        <f t="shared" si="3"/>
        <v>1107648</v>
      </c>
      <c r="D20" s="12" t="str">
        <f t="shared" si="4"/>
        <v>READY</v>
      </c>
    </row>
    <row r="21" ht="15.75" customHeight="1"/>
    <row r="22" ht="15.75" customHeight="1">
      <c r="A22" s="8" t="s">
        <v>55</v>
      </c>
      <c r="B22" s="9"/>
      <c r="C22" s="9"/>
      <c r="D22" s="9"/>
      <c r="E22" s="9"/>
      <c r="F22" s="9"/>
      <c r="G22" s="9"/>
      <c r="H22" s="10"/>
    </row>
    <row r="23" ht="15.75" customHeight="1">
      <c r="A23" s="2" t="s">
        <v>56</v>
      </c>
    </row>
    <row r="24" ht="15.75" customHeight="1">
      <c r="A24" s="16" t="s">
        <v>39</v>
      </c>
      <c r="B24" s="16" t="s">
        <v>57</v>
      </c>
      <c r="C24" s="16" t="s">
        <v>58</v>
      </c>
    </row>
    <row r="25" ht="15.75" customHeight="1">
      <c r="A25" s="13" t="s">
        <v>44</v>
      </c>
      <c r="B25" s="12">
        <f>SUMPRODUCT(('Daily Log'!A6:A205=TODAY())*('Daily Log'!D6:D205=A25)*'Daily Log'!L6:L205)</f>
        <v>0</v>
      </c>
      <c r="C25" s="12" t="str">
        <f t="shared" ref="C25:C27" si="5">IF(B25&gt;=1,"✓ Met","Not yet")</f>
        <v>Not yet</v>
      </c>
    </row>
    <row r="26" ht="15.75" customHeight="1">
      <c r="A26" s="13" t="s">
        <v>45</v>
      </c>
      <c r="B26" s="12">
        <f>SUMPRODUCT(('Daily Log'!A6:A205=TODAY())*('Daily Log'!D6:D205=A26)*'Daily Log'!L6:L205)</f>
        <v>0</v>
      </c>
      <c r="C26" s="12" t="str">
        <f t="shared" si="5"/>
        <v>Not yet</v>
      </c>
    </row>
    <row r="27" ht="15.75" customHeight="1">
      <c r="A27" s="13" t="s">
        <v>46</v>
      </c>
      <c r="B27" s="12">
        <f>SUMPRODUCT(('Daily Log'!A6:A205=TODAY())*('Daily Log'!D6:D205=A27)*'Daily Log'!L6:L205)</f>
        <v>0</v>
      </c>
      <c r="C27" s="12" t="str">
        <f t="shared" si="5"/>
        <v>Not yet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H2"/>
    <mergeCell ref="A4:H4"/>
    <mergeCell ref="A8:H8"/>
    <mergeCell ref="A16:H16"/>
    <mergeCell ref="A22:H22"/>
    <mergeCell ref="A23:H23"/>
  </mergeCells>
  <conditionalFormatting sqref="E12:E14">
    <cfRule type="cellIs" dxfId="0" priority="1" operator="greaterThan">
      <formula>4</formula>
    </cfRule>
  </conditionalFormatting>
  <conditionalFormatting sqref="D18:D20">
    <cfRule type="expression" dxfId="1" priority="2">
      <formula>$D18="ACTIVE"</formula>
    </cfRule>
  </conditionalFormatting>
  <conditionalFormatting sqref="D18:D20">
    <cfRule type="expression" dxfId="2" priority="3">
      <formula>$D18="READY"</formula>
    </cfRule>
  </conditionalFormatting>
  <conditionalFormatting sqref="C25:C27">
    <cfRule type="expression" dxfId="1" priority="4">
      <formula>LEFT($C25,1)="✓"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17.0"/>
    <col customWidth="1" min="4" max="4" width="14.0"/>
    <col customWidth="1" min="5" max="5" width="13.0"/>
    <col customWidth="1" min="6" max="6" width="11.0"/>
    <col customWidth="1" min="7" max="7" width="15.0"/>
    <col customWidth="1" min="8" max="8" width="16.0"/>
    <col customWidth="1" min="9" max="9" width="38.0"/>
    <col customWidth="1" min="10" max="11" width="12.0"/>
    <col customWidth="1" min="12" max="12" width="8.0"/>
    <col customWidth="1" min="13" max="26" width="8.71"/>
  </cols>
  <sheetData>
    <row r="1">
      <c r="A1" s="1" t="s">
        <v>59</v>
      </c>
    </row>
    <row r="2" ht="31.5" customHeight="1">
      <c r="A2" s="2" t="s">
        <v>60</v>
      </c>
    </row>
    <row r="4" ht="27.75" customHeight="1">
      <c r="A4" s="19" t="s">
        <v>61</v>
      </c>
      <c r="B4" s="19" t="s">
        <v>62</v>
      </c>
      <c r="C4" s="19" t="s">
        <v>63</v>
      </c>
      <c r="D4" s="19" t="s">
        <v>39</v>
      </c>
      <c r="E4" s="19" t="s">
        <v>64</v>
      </c>
      <c r="F4" s="19" t="s">
        <v>65</v>
      </c>
      <c r="G4" s="19" t="s">
        <v>66</v>
      </c>
      <c r="H4" s="19" t="s">
        <v>67</v>
      </c>
      <c r="I4" s="19" t="s">
        <v>68</v>
      </c>
      <c r="J4" s="19" t="s">
        <v>69</v>
      </c>
      <c r="K4" s="19" t="s">
        <v>70</v>
      </c>
      <c r="L4" s="19" t="s">
        <v>71</v>
      </c>
    </row>
    <row r="5">
      <c r="A5" s="20" t="s">
        <v>72</v>
      </c>
      <c r="B5" s="20" t="s">
        <v>73</v>
      </c>
      <c r="C5" s="20" t="s">
        <v>74</v>
      </c>
      <c r="D5" s="20" t="s">
        <v>74</v>
      </c>
      <c r="E5" s="20" t="s">
        <v>75</v>
      </c>
      <c r="F5" s="20" t="s">
        <v>74</v>
      </c>
      <c r="G5" s="20" t="s">
        <v>74</v>
      </c>
      <c r="H5" s="20" t="s">
        <v>76</v>
      </c>
      <c r="I5" s="21" t="s">
        <v>77</v>
      </c>
      <c r="J5" s="20" t="s">
        <v>78</v>
      </c>
      <c r="K5" s="20" t="s">
        <v>78</v>
      </c>
      <c r="L5" s="20" t="s">
        <v>78</v>
      </c>
    </row>
    <row r="6">
      <c r="A6" s="12"/>
      <c r="B6" s="12"/>
      <c r="C6" s="22"/>
      <c r="D6" s="22"/>
      <c r="E6" s="12"/>
      <c r="F6" s="12"/>
      <c r="G6" s="12"/>
      <c r="H6" s="12">
        <v>1.0</v>
      </c>
      <c r="I6" s="22"/>
      <c r="J6" s="23">
        <f t="shared" ref="J6:J205" si="1">IF(C6="",0,IF(AND(C6="Dig Block",F6="Yes"),10,IF(AND(C6="Dig Block",F6="Half"),5,IF(AND(C6="Dig Block",F6="No"),5,IF(C6="Extracurricular",5,IF(C6="Gain Action",8,IF(C6="Day Job",0,IF(C6="Boost Activation",0,0))))))))</f>
        <v>0</v>
      </c>
      <c r="K6" s="23">
        <f t="shared" ref="K6:K205" si="2">IF(C6="",0,J6*H6)</f>
        <v>0</v>
      </c>
      <c r="L6" s="23">
        <f t="shared" ref="L6:L205" si="3">IF(C6="",0,IF(AND(C6="Dig Block",F6="Yes"),1,IF(AND(C6="Dig Block",F6="Half"),0.5,0)))</f>
        <v>0</v>
      </c>
    </row>
    <row r="7">
      <c r="A7" s="12"/>
      <c r="B7" s="12"/>
      <c r="C7" s="22"/>
      <c r="D7" s="22"/>
      <c r="E7" s="12"/>
      <c r="F7" s="12"/>
      <c r="G7" s="12"/>
      <c r="H7" s="12">
        <v>1.0</v>
      </c>
      <c r="I7" s="22"/>
      <c r="J7" s="23">
        <f t="shared" si="1"/>
        <v>0</v>
      </c>
      <c r="K7" s="23">
        <f t="shared" si="2"/>
        <v>0</v>
      </c>
      <c r="L7" s="23">
        <f t="shared" si="3"/>
        <v>0</v>
      </c>
    </row>
    <row r="8">
      <c r="A8" s="12"/>
      <c r="B8" s="12"/>
      <c r="C8" s="22"/>
      <c r="D8" s="22"/>
      <c r="E8" s="12"/>
      <c r="F8" s="12"/>
      <c r="G8" s="12"/>
      <c r="H8" s="12">
        <v>1.0</v>
      </c>
      <c r="I8" s="22"/>
      <c r="J8" s="23">
        <f t="shared" si="1"/>
        <v>0</v>
      </c>
      <c r="K8" s="23">
        <f t="shared" si="2"/>
        <v>0</v>
      </c>
      <c r="L8" s="23">
        <f t="shared" si="3"/>
        <v>0</v>
      </c>
    </row>
    <row r="9">
      <c r="A9" s="12"/>
      <c r="B9" s="12"/>
      <c r="C9" s="22"/>
      <c r="D9" s="22"/>
      <c r="E9" s="12"/>
      <c r="F9" s="12"/>
      <c r="G9" s="12"/>
      <c r="H9" s="12">
        <v>1.0</v>
      </c>
      <c r="I9" s="22"/>
      <c r="J9" s="23">
        <f t="shared" si="1"/>
        <v>0</v>
      </c>
      <c r="K9" s="23">
        <f t="shared" si="2"/>
        <v>0</v>
      </c>
      <c r="L9" s="23">
        <f t="shared" si="3"/>
        <v>0</v>
      </c>
    </row>
    <row r="10">
      <c r="A10" s="12"/>
      <c r="B10" s="12"/>
      <c r="C10" s="22"/>
      <c r="D10" s="22"/>
      <c r="E10" s="12"/>
      <c r="F10" s="12"/>
      <c r="G10" s="12"/>
      <c r="H10" s="12">
        <v>1.0</v>
      </c>
      <c r="I10" s="22"/>
      <c r="J10" s="23">
        <f t="shared" si="1"/>
        <v>0</v>
      </c>
      <c r="K10" s="23">
        <f t="shared" si="2"/>
        <v>0</v>
      </c>
      <c r="L10" s="23">
        <f t="shared" si="3"/>
        <v>0</v>
      </c>
    </row>
    <row r="11">
      <c r="A11" s="12"/>
      <c r="B11" s="12"/>
      <c r="C11" s="22"/>
      <c r="D11" s="22"/>
      <c r="E11" s="12"/>
      <c r="F11" s="12"/>
      <c r="G11" s="12"/>
      <c r="H11" s="12">
        <v>1.0</v>
      </c>
      <c r="I11" s="22"/>
      <c r="J11" s="23">
        <f t="shared" si="1"/>
        <v>0</v>
      </c>
      <c r="K11" s="23">
        <f t="shared" si="2"/>
        <v>0</v>
      </c>
      <c r="L11" s="23">
        <f t="shared" si="3"/>
        <v>0</v>
      </c>
    </row>
    <row r="12">
      <c r="A12" s="12"/>
      <c r="B12" s="12"/>
      <c r="C12" s="22"/>
      <c r="D12" s="22"/>
      <c r="E12" s="12"/>
      <c r="F12" s="12"/>
      <c r="G12" s="12"/>
      <c r="H12" s="12">
        <v>1.0</v>
      </c>
      <c r="I12" s="22"/>
      <c r="J12" s="23">
        <f t="shared" si="1"/>
        <v>0</v>
      </c>
      <c r="K12" s="23">
        <f t="shared" si="2"/>
        <v>0</v>
      </c>
      <c r="L12" s="23">
        <f t="shared" si="3"/>
        <v>0</v>
      </c>
    </row>
    <row r="13">
      <c r="A13" s="12"/>
      <c r="B13" s="12"/>
      <c r="C13" s="22"/>
      <c r="D13" s="22"/>
      <c r="E13" s="12"/>
      <c r="F13" s="12"/>
      <c r="G13" s="12"/>
      <c r="H13" s="12">
        <v>1.0</v>
      </c>
      <c r="I13" s="22"/>
      <c r="J13" s="23">
        <f t="shared" si="1"/>
        <v>0</v>
      </c>
      <c r="K13" s="23">
        <f t="shared" si="2"/>
        <v>0</v>
      </c>
      <c r="L13" s="23">
        <f t="shared" si="3"/>
        <v>0</v>
      </c>
    </row>
    <row r="14">
      <c r="A14" s="12"/>
      <c r="B14" s="12"/>
      <c r="C14" s="22"/>
      <c r="D14" s="22"/>
      <c r="E14" s="12"/>
      <c r="F14" s="12"/>
      <c r="G14" s="12"/>
      <c r="H14" s="12">
        <v>1.0</v>
      </c>
      <c r="I14" s="22"/>
      <c r="J14" s="23">
        <f t="shared" si="1"/>
        <v>0</v>
      </c>
      <c r="K14" s="23">
        <f t="shared" si="2"/>
        <v>0</v>
      </c>
      <c r="L14" s="23">
        <f t="shared" si="3"/>
        <v>0</v>
      </c>
    </row>
    <row r="15">
      <c r="A15" s="12"/>
      <c r="B15" s="12"/>
      <c r="C15" s="22"/>
      <c r="D15" s="22"/>
      <c r="E15" s="12"/>
      <c r="F15" s="12"/>
      <c r="G15" s="12"/>
      <c r="H15" s="12">
        <v>1.0</v>
      </c>
      <c r="I15" s="22"/>
      <c r="J15" s="23">
        <f t="shared" si="1"/>
        <v>0</v>
      </c>
      <c r="K15" s="23">
        <f t="shared" si="2"/>
        <v>0</v>
      </c>
      <c r="L15" s="23">
        <f t="shared" si="3"/>
        <v>0</v>
      </c>
    </row>
    <row r="16">
      <c r="A16" s="12"/>
      <c r="B16" s="12"/>
      <c r="C16" s="22"/>
      <c r="D16" s="22"/>
      <c r="E16" s="12"/>
      <c r="F16" s="12"/>
      <c r="G16" s="12"/>
      <c r="H16" s="12">
        <v>1.0</v>
      </c>
      <c r="I16" s="22"/>
      <c r="J16" s="23">
        <f t="shared" si="1"/>
        <v>0</v>
      </c>
      <c r="K16" s="23">
        <f t="shared" si="2"/>
        <v>0</v>
      </c>
      <c r="L16" s="23">
        <f t="shared" si="3"/>
        <v>0</v>
      </c>
    </row>
    <row r="17">
      <c r="A17" s="12"/>
      <c r="B17" s="12"/>
      <c r="C17" s="22"/>
      <c r="D17" s="22"/>
      <c r="E17" s="12"/>
      <c r="F17" s="12"/>
      <c r="G17" s="12"/>
      <c r="H17" s="12">
        <v>1.0</v>
      </c>
      <c r="I17" s="22"/>
      <c r="J17" s="23">
        <f t="shared" si="1"/>
        <v>0</v>
      </c>
      <c r="K17" s="23">
        <f t="shared" si="2"/>
        <v>0</v>
      </c>
      <c r="L17" s="23">
        <f t="shared" si="3"/>
        <v>0</v>
      </c>
    </row>
    <row r="18">
      <c r="A18" s="12"/>
      <c r="B18" s="12"/>
      <c r="C18" s="22"/>
      <c r="D18" s="22"/>
      <c r="E18" s="12"/>
      <c r="F18" s="12"/>
      <c r="G18" s="12"/>
      <c r="H18" s="12">
        <v>1.0</v>
      </c>
      <c r="I18" s="22"/>
      <c r="J18" s="23">
        <f t="shared" si="1"/>
        <v>0</v>
      </c>
      <c r="K18" s="23">
        <f t="shared" si="2"/>
        <v>0</v>
      </c>
      <c r="L18" s="23">
        <f t="shared" si="3"/>
        <v>0</v>
      </c>
    </row>
    <row r="19">
      <c r="A19" s="12"/>
      <c r="B19" s="12"/>
      <c r="C19" s="22"/>
      <c r="D19" s="22"/>
      <c r="E19" s="12"/>
      <c r="F19" s="12"/>
      <c r="G19" s="12"/>
      <c r="H19" s="12">
        <v>1.0</v>
      </c>
      <c r="I19" s="22"/>
      <c r="J19" s="23">
        <f t="shared" si="1"/>
        <v>0</v>
      </c>
      <c r="K19" s="23">
        <f t="shared" si="2"/>
        <v>0</v>
      </c>
      <c r="L19" s="23">
        <f t="shared" si="3"/>
        <v>0</v>
      </c>
    </row>
    <row r="20">
      <c r="A20" s="12"/>
      <c r="B20" s="12"/>
      <c r="C20" s="22"/>
      <c r="D20" s="22"/>
      <c r="E20" s="12"/>
      <c r="F20" s="12"/>
      <c r="G20" s="12"/>
      <c r="H20" s="12">
        <v>1.0</v>
      </c>
      <c r="I20" s="22"/>
      <c r="J20" s="23">
        <f t="shared" si="1"/>
        <v>0</v>
      </c>
      <c r="K20" s="23">
        <f t="shared" si="2"/>
        <v>0</v>
      </c>
      <c r="L20" s="23">
        <f t="shared" si="3"/>
        <v>0</v>
      </c>
    </row>
    <row r="21" ht="15.75" customHeight="1">
      <c r="A21" s="12"/>
      <c r="B21" s="12"/>
      <c r="C21" s="22"/>
      <c r="D21" s="22"/>
      <c r="E21" s="12"/>
      <c r="F21" s="12"/>
      <c r="G21" s="12"/>
      <c r="H21" s="12">
        <v>1.0</v>
      </c>
      <c r="I21" s="22"/>
      <c r="J21" s="23">
        <f t="shared" si="1"/>
        <v>0</v>
      </c>
      <c r="K21" s="23">
        <f t="shared" si="2"/>
        <v>0</v>
      </c>
      <c r="L21" s="23">
        <f t="shared" si="3"/>
        <v>0</v>
      </c>
    </row>
    <row r="22" ht="15.75" customHeight="1">
      <c r="A22" s="12"/>
      <c r="B22" s="12"/>
      <c r="C22" s="22"/>
      <c r="D22" s="22"/>
      <c r="E22" s="12"/>
      <c r="F22" s="12"/>
      <c r="G22" s="12"/>
      <c r="H22" s="12">
        <v>1.0</v>
      </c>
      <c r="I22" s="22"/>
      <c r="J22" s="23">
        <f t="shared" si="1"/>
        <v>0</v>
      </c>
      <c r="K22" s="23">
        <f t="shared" si="2"/>
        <v>0</v>
      </c>
      <c r="L22" s="23">
        <f t="shared" si="3"/>
        <v>0</v>
      </c>
    </row>
    <row r="23" ht="15.75" customHeight="1">
      <c r="A23" s="12"/>
      <c r="B23" s="12"/>
      <c r="C23" s="22"/>
      <c r="D23" s="22"/>
      <c r="E23" s="12"/>
      <c r="F23" s="12"/>
      <c r="G23" s="12"/>
      <c r="H23" s="12">
        <v>1.0</v>
      </c>
      <c r="I23" s="22"/>
      <c r="J23" s="23">
        <f t="shared" si="1"/>
        <v>0</v>
      </c>
      <c r="K23" s="23">
        <f t="shared" si="2"/>
        <v>0</v>
      </c>
      <c r="L23" s="23">
        <f t="shared" si="3"/>
        <v>0</v>
      </c>
    </row>
    <row r="24" ht="15.75" customHeight="1">
      <c r="A24" s="12"/>
      <c r="B24" s="12"/>
      <c r="C24" s="22"/>
      <c r="D24" s="22"/>
      <c r="E24" s="12"/>
      <c r="F24" s="12"/>
      <c r="G24" s="12"/>
      <c r="H24" s="12">
        <v>1.0</v>
      </c>
      <c r="I24" s="22"/>
      <c r="J24" s="23">
        <f t="shared" si="1"/>
        <v>0</v>
      </c>
      <c r="K24" s="23">
        <f t="shared" si="2"/>
        <v>0</v>
      </c>
      <c r="L24" s="23">
        <f t="shared" si="3"/>
        <v>0</v>
      </c>
    </row>
    <row r="25" ht="15.75" customHeight="1">
      <c r="A25" s="12"/>
      <c r="B25" s="12"/>
      <c r="C25" s="22"/>
      <c r="D25" s="22"/>
      <c r="E25" s="12"/>
      <c r="F25" s="12"/>
      <c r="G25" s="12"/>
      <c r="H25" s="12">
        <v>1.0</v>
      </c>
      <c r="I25" s="22"/>
      <c r="J25" s="23">
        <f t="shared" si="1"/>
        <v>0</v>
      </c>
      <c r="K25" s="23">
        <f t="shared" si="2"/>
        <v>0</v>
      </c>
      <c r="L25" s="23">
        <f t="shared" si="3"/>
        <v>0</v>
      </c>
    </row>
    <row r="26" ht="15.75" customHeight="1">
      <c r="A26" s="12"/>
      <c r="B26" s="12"/>
      <c r="C26" s="22"/>
      <c r="D26" s="22"/>
      <c r="E26" s="12"/>
      <c r="F26" s="12"/>
      <c r="G26" s="12"/>
      <c r="H26" s="12">
        <v>1.0</v>
      </c>
      <c r="I26" s="22"/>
      <c r="J26" s="23">
        <f t="shared" si="1"/>
        <v>0</v>
      </c>
      <c r="K26" s="23">
        <f t="shared" si="2"/>
        <v>0</v>
      </c>
      <c r="L26" s="23">
        <f t="shared" si="3"/>
        <v>0</v>
      </c>
    </row>
    <row r="27" ht="15.75" customHeight="1">
      <c r="A27" s="12"/>
      <c r="B27" s="12"/>
      <c r="C27" s="22"/>
      <c r="D27" s="22"/>
      <c r="E27" s="12"/>
      <c r="F27" s="12"/>
      <c r="G27" s="12"/>
      <c r="H27" s="12">
        <v>1.0</v>
      </c>
      <c r="I27" s="22"/>
      <c r="J27" s="23">
        <f t="shared" si="1"/>
        <v>0</v>
      </c>
      <c r="K27" s="23">
        <f t="shared" si="2"/>
        <v>0</v>
      </c>
      <c r="L27" s="23">
        <f t="shared" si="3"/>
        <v>0</v>
      </c>
    </row>
    <row r="28" ht="15.75" customHeight="1">
      <c r="A28" s="12"/>
      <c r="B28" s="12"/>
      <c r="C28" s="22"/>
      <c r="D28" s="22"/>
      <c r="E28" s="12"/>
      <c r="F28" s="12"/>
      <c r="G28" s="12"/>
      <c r="H28" s="12">
        <v>1.0</v>
      </c>
      <c r="I28" s="22"/>
      <c r="J28" s="23">
        <f t="shared" si="1"/>
        <v>0</v>
      </c>
      <c r="K28" s="23">
        <f t="shared" si="2"/>
        <v>0</v>
      </c>
      <c r="L28" s="23">
        <f t="shared" si="3"/>
        <v>0</v>
      </c>
    </row>
    <row r="29" ht="15.75" customHeight="1">
      <c r="A29" s="12"/>
      <c r="B29" s="12"/>
      <c r="C29" s="22"/>
      <c r="D29" s="22"/>
      <c r="E29" s="12"/>
      <c r="F29" s="12"/>
      <c r="G29" s="12"/>
      <c r="H29" s="12">
        <v>1.0</v>
      </c>
      <c r="I29" s="22"/>
      <c r="J29" s="23">
        <f t="shared" si="1"/>
        <v>0</v>
      </c>
      <c r="K29" s="23">
        <f t="shared" si="2"/>
        <v>0</v>
      </c>
      <c r="L29" s="23">
        <f t="shared" si="3"/>
        <v>0</v>
      </c>
    </row>
    <row r="30" ht="15.75" customHeight="1">
      <c r="A30" s="12"/>
      <c r="B30" s="12"/>
      <c r="C30" s="22"/>
      <c r="D30" s="22"/>
      <c r="E30" s="12"/>
      <c r="F30" s="12"/>
      <c r="G30" s="12"/>
      <c r="H30" s="12">
        <v>1.0</v>
      </c>
      <c r="I30" s="22"/>
      <c r="J30" s="23">
        <f t="shared" si="1"/>
        <v>0</v>
      </c>
      <c r="K30" s="23">
        <f t="shared" si="2"/>
        <v>0</v>
      </c>
      <c r="L30" s="23">
        <f t="shared" si="3"/>
        <v>0</v>
      </c>
    </row>
    <row r="31" ht="15.75" customHeight="1">
      <c r="A31" s="12"/>
      <c r="B31" s="12"/>
      <c r="C31" s="22"/>
      <c r="D31" s="22"/>
      <c r="E31" s="12"/>
      <c r="F31" s="12"/>
      <c r="G31" s="12"/>
      <c r="H31" s="12">
        <v>1.0</v>
      </c>
      <c r="I31" s="22"/>
      <c r="J31" s="23">
        <f t="shared" si="1"/>
        <v>0</v>
      </c>
      <c r="K31" s="23">
        <f t="shared" si="2"/>
        <v>0</v>
      </c>
      <c r="L31" s="23">
        <f t="shared" si="3"/>
        <v>0</v>
      </c>
    </row>
    <row r="32" ht="15.75" customHeight="1">
      <c r="A32" s="12"/>
      <c r="B32" s="12"/>
      <c r="C32" s="22"/>
      <c r="D32" s="22"/>
      <c r="E32" s="12"/>
      <c r="F32" s="12"/>
      <c r="G32" s="12"/>
      <c r="H32" s="12">
        <v>1.0</v>
      </c>
      <c r="I32" s="22"/>
      <c r="J32" s="23">
        <f t="shared" si="1"/>
        <v>0</v>
      </c>
      <c r="K32" s="23">
        <f t="shared" si="2"/>
        <v>0</v>
      </c>
      <c r="L32" s="23">
        <f t="shared" si="3"/>
        <v>0</v>
      </c>
    </row>
    <row r="33" ht="15.75" customHeight="1">
      <c r="A33" s="12"/>
      <c r="B33" s="12"/>
      <c r="C33" s="22"/>
      <c r="D33" s="22"/>
      <c r="E33" s="12"/>
      <c r="F33" s="12"/>
      <c r="G33" s="12"/>
      <c r="H33" s="12">
        <v>1.0</v>
      </c>
      <c r="I33" s="22"/>
      <c r="J33" s="23">
        <f t="shared" si="1"/>
        <v>0</v>
      </c>
      <c r="K33" s="23">
        <f t="shared" si="2"/>
        <v>0</v>
      </c>
      <c r="L33" s="23">
        <f t="shared" si="3"/>
        <v>0</v>
      </c>
    </row>
    <row r="34" ht="15.75" customHeight="1">
      <c r="A34" s="12"/>
      <c r="B34" s="12"/>
      <c r="C34" s="22"/>
      <c r="D34" s="22"/>
      <c r="E34" s="12"/>
      <c r="F34" s="12"/>
      <c r="G34" s="12"/>
      <c r="H34" s="12">
        <v>1.0</v>
      </c>
      <c r="I34" s="22"/>
      <c r="J34" s="23">
        <f t="shared" si="1"/>
        <v>0</v>
      </c>
      <c r="K34" s="23">
        <f t="shared" si="2"/>
        <v>0</v>
      </c>
      <c r="L34" s="23">
        <f t="shared" si="3"/>
        <v>0</v>
      </c>
    </row>
    <row r="35" ht="15.75" customHeight="1">
      <c r="A35" s="12"/>
      <c r="B35" s="12"/>
      <c r="C35" s="22"/>
      <c r="D35" s="22"/>
      <c r="E35" s="12"/>
      <c r="F35" s="12"/>
      <c r="G35" s="12"/>
      <c r="H35" s="12">
        <v>1.0</v>
      </c>
      <c r="I35" s="22"/>
      <c r="J35" s="23">
        <f t="shared" si="1"/>
        <v>0</v>
      </c>
      <c r="K35" s="23">
        <f t="shared" si="2"/>
        <v>0</v>
      </c>
      <c r="L35" s="23">
        <f t="shared" si="3"/>
        <v>0</v>
      </c>
    </row>
    <row r="36" ht="15.75" customHeight="1">
      <c r="A36" s="12"/>
      <c r="B36" s="12"/>
      <c r="C36" s="22"/>
      <c r="D36" s="22"/>
      <c r="E36" s="12"/>
      <c r="F36" s="12"/>
      <c r="G36" s="12"/>
      <c r="H36" s="12">
        <v>1.0</v>
      </c>
      <c r="I36" s="22"/>
      <c r="J36" s="23">
        <f t="shared" si="1"/>
        <v>0</v>
      </c>
      <c r="K36" s="23">
        <f t="shared" si="2"/>
        <v>0</v>
      </c>
      <c r="L36" s="23">
        <f t="shared" si="3"/>
        <v>0</v>
      </c>
    </row>
    <row r="37" ht="15.75" customHeight="1">
      <c r="A37" s="12"/>
      <c r="B37" s="12"/>
      <c r="C37" s="22"/>
      <c r="D37" s="22"/>
      <c r="E37" s="12"/>
      <c r="F37" s="12"/>
      <c r="G37" s="12"/>
      <c r="H37" s="12">
        <v>1.0</v>
      </c>
      <c r="I37" s="22"/>
      <c r="J37" s="23">
        <f t="shared" si="1"/>
        <v>0</v>
      </c>
      <c r="K37" s="23">
        <f t="shared" si="2"/>
        <v>0</v>
      </c>
      <c r="L37" s="23">
        <f t="shared" si="3"/>
        <v>0</v>
      </c>
    </row>
    <row r="38" ht="15.75" customHeight="1">
      <c r="A38" s="12"/>
      <c r="B38" s="12"/>
      <c r="C38" s="22"/>
      <c r="D38" s="22"/>
      <c r="E38" s="12"/>
      <c r="F38" s="12"/>
      <c r="G38" s="12"/>
      <c r="H38" s="12">
        <v>1.0</v>
      </c>
      <c r="I38" s="22"/>
      <c r="J38" s="23">
        <f t="shared" si="1"/>
        <v>0</v>
      </c>
      <c r="K38" s="23">
        <f t="shared" si="2"/>
        <v>0</v>
      </c>
      <c r="L38" s="23">
        <f t="shared" si="3"/>
        <v>0</v>
      </c>
    </row>
    <row r="39" ht="15.75" customHeight="1">
      <c r="A39" s="12"/>
      <c r="B39" s="12"/>
      <c r="C39" s="22"/>
      <c r="D39" s="22"/>
      <c r="E39" s="12"/>
      <c r="F39" s="12"/>
      <c r="G39" s="12"/>
      <c r="H39" s="12">
        <v>1.0</v>
      </c>
      <c r="I39" s="22"/>
      <c r="J39" s="23">
        <f t="shared" si="1"/>
        <v>0</v>
      </c>
      <c r="K39" s="23">
        <f t="shared" si="2"/>
        <v>0</v>
      </c>
      <c r="L39" s="23">
        <f t="shared" si="3"/>
        <v>0</v>
      </c>
    </row>
    <row r="40" ht="15.75" customHeight="1">
      <c r="A40" s="12"/>
      <c r="B40" s="12"/>
      <c r="C40" s="22"/>
      <c r="D40" s="22"/>
      <c r="E40" s="12"/>
      <c r="F40" s="12"/>
      <c r="G40" s="12"/>
      <c r="H40" s="12">
        <v>1.0</v>
      </c>
      <c r="I40" s="22"/>
      <c r="J40" s="23">
        <f t="shared" si="1"/>
        <v>0</v>
      </c>
      <c r="K40" s="23">
        <f t="shared" si="2"/>
        <v>0</v>
      </c>
      <c r="L40" s="23">
        <f t="shared" si="3"/>
        <v>0</v>
      </c>
    </row>
    <row r="41" ht="15.75" customHeight="1">
      <c r="A41" s="12"/>
      <c r="B41" s="12"/>
      <c r="C41" s="22"/>
      <c r="D41" s="22"/>
      <c r="E41" s="12"/>
      <c r="F41" s="12"/>
      <c r="G41" s="12"/>
      <c r="H41" s="12">
        <v>1.0</v>
      </c>
      <c r="I41" s="22"/>
      <c r="J41" s="23">
        <f t="shared" si="1"/>
        <v>0</v>
      </c>
      <c r="K41" s="23">
        <f t="shared" si="2"/>
        <v>0</v>
      </c>
      <c r="L41" s="23">
        <f t="shared" si="3"/>
        <v>0</v>
      </c>
    </row>
    <row r="42" ht="15.75" customHeight="1">
      <c r="A42" s="12"/>
      <c r="B42" s="12"/>
      <c r="C42" s="22"/>
      <c r="D42" s="22"/>
      <c r="E42" s="12"/>
      <c r="F42" s="12"/>
      <c r="G42" s="12"/>
      <c r="H42" s="12">
        <v>1.0</v>
      </c>
      <c r="I42" s="22"/>
      <c r="J42" s="23">
        <f t="shared" si="1"/>
        <v>0</v>
      </c>
      <c r="K42" s="23">
        <f t="shared" si="2"/>
        <v>0</v>
      </c>
      <c r="L42" s="23">
        <f t="shared" si="3"/>
        <v>0</v>
      </c>
    </row>
    <row r="43" ht="15.75" customHeight="1">
      <c r="A43" s="12"/>
      <c r="B43" s="12"/>
      <c r="C43" s="22"/>
      <c r="D43" s="22"/>
      <c r="E43" s="12"/>
      <c r="F43" s="12"/>
      <c r="G43" s="12"/>
      <c r="H43" s="12">
        <v>1.0</v>
      </c>
      <c r="I43" s="22"/>
      <c r="J43" s="23">
        <f t="shared" si="1"/>
        <v>0</v>
      </c>
      <c r="K43" s="23">
        <f t="shared" si="2"/>
        <v>0</v>
      </c>
      <c r="L43" s="23">
        <f t="shared" si="3"/>
        <v>0</v>
      </c>
    </row>
    <row r="44" ht="15.75" customHeight="1">
      <c r="A44" s="12"/>
      <c r="B44" s="12"/>
      <c r="C44" s="22"/>
      <c r="D44" s="22"/>
      <c r="E44" s="12"/>
      <c r="F44" s="12"/>
      <c r="G44" s="12"/>
      <c r="H44" s="12">
        <v>1.0</v>
      </c>
      <c r="I44" s="22"/>
      <c r="J44" s="23">
        <f t="shared" si="1"/>
        <v>0</v>
      </c>
      <c r="K44" s="23">
        <f t="shared" si="2"/>
        <v>0</v>
      </c>
      <c r="L44" s="23">
        <f t="shared" si="3"/>
        <v>0</v>
      </c>
    </row>
    <row r="45" ht="15.75" customHeight="1">
      <c r="A45" s="12"/>
      <c r="B45" s="12"/>
      <c r="C45" s="22"/>
      <c r="D45" s="22"/>
      <c r="E45" s="12"/>
      <c r="F45" s="12"/>
      <c r="G45" s="12"/>
      <c r="H45" s="12">
        <v>1.0</v>
      </c>
      <c r="I45" s="22"/>
      <c r="J45" s="23">
        <f t="shared" si="1"/>
        <v>0</v>
      </c>
      <c r="K45" s="23">
        <f t="shared" si="2"/>
        <v>0</v>
      </c>
      <c r="L45" s="23">
        <f t="shared" si="3"/>
        <v>0</v>
      </c>
    </row>
    <row r="46" ht="15.75" customHeight="1">
      <c r="A46" s="12"/>
      <c r="B46" s="12"/>
      <c r="C46" s="22"/>
      <c r="D46" s="22"/>
      <c r="E46" s="12"/>
      <c r="F46" s="12"/>
      <c r="G46" s="12"/>
      <c r="H46" s="12">
        <v>1.0</v>
      </c>
      <c r="I46" s="22"/>
      <c r="J46" s="23">
        <f t="shared" si="1"/>
        <v>0</v>
      </c>
      <c r="K46" s="23">
        <f t="shared" si="2"/>
        <v>0</v>
      </c>
      <c r="L46" s="23">
        <f t="shared" si="3"/>
        <v>0</v>
      </c>
    </row>
    <row r="47" ht="15.75" customHeight="1">
      <c r="A47" s="12"/>
      <c r="B47" s="12"/>
      <c r="C47" s="22"/>
      <c r="D47" s="22"/>
      <c r="E47" s="12"/>
      <c r="F47" s="12"/>
      <c r="G47" s="12"/>
      <c r="H47" s="12">
        <v>1.0</v>
      </c>
      <c r="I47" s="22"/>
      <c r="J47" s="23">
        <f t="shared" si="1"/>
        <v>0</v>
      </c>
      <c r="K47" s="23">
        <f t="shared" si="2"/>
        <v>0</v>
      </c>
      <c r="L47" s="23">
        <f t="shared" si="3"/>
        <v>0</v>
      </c>
    </row>
    <row r="48" ht="15.75" customHeight="1">
      <c r="A48" s="12"/>
      <c r="B48" s="12"/>
      <c r="C48" s="22"/>
      <c r="D48" s="22"/>
      <c r="E48" s="12"/>
      <c r="F48" s="12"/>
      <c r="G48" s="12"/>
      <c r="H48" s="12">
        <v>1.0</v>
      </c>
      <c r="I48" s="22"/>
      <c r="J48" s="23">
        <f t="shared" si="1"/>
        <v>0</v>
      </c>
      <c r="K48" s="23">
        <f t="shared" si="2"/>
        <v>0</v>
      </c>
      <c r="L48" s="23">
        <f t="shared" si="3"/>
        <v>0</v>
      </c>
    </row>
    <row r="49" ht="15.75" customHeight="1">
      <c r="A49" s="12"/>
      <c r="B49" s="12"/>
      <c r="C49" s="22"/>
      <c r="D49" s="22"/>
      <c r="E49" s="12"/>
      <c r="F49" s="12"/>
      <c r="G49" s="12"/>
      <c r="H49" s="12">
        <v>1.0</v>
      </c>
      <c r="I49" s="22"/>
      <c r="J49" s="23">
        <f t="shared" si="1"/>
        <v>0</v>
      </c>
      <c r="K49" s="23">
        <f t="shared" si="2"/>
        <v>0</v>
      </c>
      <c r="L49" s="23">
        <f t="shared" si="3"/>
        <v>0</v>
      </c>
    </row>
    <row r="50" ht="15.75" customHeight="1">
      <c r="A50" s="12"/>
      <c r="B50" s="12"/>
      <c r="C50" s="22"/>
      <c r="D50" s="22"/>
      <c r="E50" s="12"/>
      <c r="F50" s="12"/>
      <c r="G50" s="12"/>
      <c r="H50" s="12">
        <v>1.0</v>
      </c>
      <c r="I50" s="22"/>
      <c r="J50" s="23">
        <f t="shared" si="1"/>
        <v>0</v>
      </c>
      <c r="K50" s="23">
        <f t="shared" si="2"/>
        <v>0</v>
      </c>
      <c r="L50" s="23">
        <f t="shared" si="3"/>
        <v>0</v>
      </c>
    </row>
    <row r="51" ht="15.75" customHeight="1">
      <c r="A51" s="12"/>
      <c r="B51" s="12"/>
      <c r="C51" s="22"/>
      <c r="D51" s="22"/>
      <c r="E51" s="12"/>
      <c r="F51" s="12"/>
      <c r="G51" s="12"/>
      <c r="H51" s="12">
        <v>1.0</v>
      </c>
      <c r="I51" s="22"/>
      <c r="J51" s="23">
        <f t="shared" si="1"/>
        <v>0</v>
      </c>
      <c r="K51" s="23">
        <f t="shared" si="2"/>
        <v>0</v>
      </c>
      <c r="L51" s="23">
        <f t="shared" si="3"/>
        <v>0</v>
      </c>
    </row>
    <row r="52" ht="15.75" customHeight="1">
      <c r="A52" s="12"/>
      <c r="B52" s="12"/>
      <c r="C52" s="22"/>
      <c r="D52" s="22"/>
      <c r="E52" s="12"/>
      <c r="F52" s="12"/>
      <c r="G52" s="12"/>
      <c r="H52" s="12">
        <v>1.0</v>
      </c>
      <c r="I52" s="22"/>
      <c r="J52" s="23">
        <f t="shared" si="1"/>
        <v>0</v>
      </c>
      <c r="K52" s="23">
        <f t="shared" si="2"/>
        <v>0</v>
      </c>
      <c r="L52" s="23">
        <f t="shared" si="3"/>
        <v>0</v>
      </c>
    </row>
    <row r="53" ht="15.75" customHeight="1">
      <c r="A53" s="12"/>
      <c r="B53" s="12"/>
      <c r="C53" s="22"/>
      <c r="D53" s="22"/>
      <c r="E53" s="12"/>
      <c r="F53" s="12"/>
      <c r="G53" s="12"/>
      <c r="H53" s="12">
        <v>1.0</v>
      </c>
      <c r="I53" s="22"/>
      <c r="J53" s="23">
        <f t="shared" si="1"/>
        <v>0</v>
      </c>
      <c r="K53" s="23">
        <f t="shared" si="2"/>
        <v>0</v>
      </c>
      <c r="L53" s="23">
        <f t="shared" si="3"/>
        <v>0</v>
      </c>
    </row>
    <row r="54" ht="15.75" customHeight="1">
      <c r="A54" s="12"/>
      <c r="B54" s="12"/>
      <c r="C54" s="22"/>
      <c r="D54" s="22"/>
      <c r="E54" s="12"/>
      <c r="F54" s="12"/>
      <c r="G54" s="12"/>
      <c r="H54" s="12">
        <v>1.0</v>
      </c>
      <c r="I54" s="22"/>
      <c r="J54" s="23">
        <f t="shared" si="1"/>
        <v>0</v>
      </c>
      <c r="K54" s="23">
        <f t="shared" si="2"/>
        <v>0</v>
      </c>
      <c r="L54" s="23">
        <f t="shared" si="3"/>
        <v>0</v>
      </c>
    </row>
    <row r="55" ht="15.75" customHeight="1">
      <c r="A55" s="12"/>
      <c r="B55" s="12"/>
      <c r="C55" s="22"/>
      <c r="D55" s="22"/>
      <c r="E55" s="12"/>
      <c r="F55" s="12"/>
      <c r="G55" s="12"/>
      <c r="H55" s="12">
        <v>1.0</v>
      </c>
      <c r="I55" s="22"/>
      <c r="J55" s="23">
        <f t="shared" si="1"/>
        <v>0</v>
      </c>
      <c r="K55" s="23">
        <f t="shared" si="2"/>
        <v>0</v>
      </c>
      <c r="L55" s="23">
        <f t="shared" si="3"/>
        <v>0</v>
      </c>
    </row>
    <row r="56" ht="15.75" customHeight="1">
      <c r="A56" s="12"/>
      <c r="B56" s="12"/>
      <c r="C56" s="22"/>
      <c r="D56" s="22"/>
      <c r="E56" s="12"/>
      <c r="F56" s="12"/>
      <c r="G56" s="12"/>
      <c r="H56" s="12">
        <v>1.0</v>
      </c>
      <c r="I56" s="22"/>
      <c r="J56" s="23">
        <f t="shared" si="1"/>
        <v>0</v>
      </c>
      <c r="K56" s="23">
        <f t="shared" si="2"/>
        <v>0</v>
      </c>
      <c r="L56" s="23">
        <f t="shared" si="3"/>
        <v>0</v>
      </c>
    </row>
    <row r="57" ht="15.75" customHeight="1">
      <c r="A57" s="12"/>
      <c r="B57" s="12"/>
      <c r="C57" s="22"/>
      <c r="D57" s="22"/>
      <c r="E57" s="12"/>
      <c r="F57" s="12"/>
      <c r="G57" s="12"/>
      <c r="H57" s="12">
        <v>1.0</v>
      </c>
      <c r="I57" s="22"/>
      <c r="J57" s="23">
        <f t="shared" si="1"/>
        <v>0</v>
      </c>
      <c r="K57" s="23">
        <f t="shared" si="2"/>
        <v>0</v>
      </c>
      <c r="L57" s="23">
        <f t="shared" si="3"/>
        <v>0</v>
      </c>
    </row>
    <row r="58" ht="15.75" customHeight="1">
      <c r="A58" s="12"/>
      <c r="B58" s="12"/>
      <c r="C58" s="22"/>
      <c r="D58" s="22"/>
      <c r="E58" s="12"/>
      <c r="F58" s="12"/>
      <c r="G58" s="12"/>
      <c r="H58" s="12">
        <v>1.0</v>
      </c>
      <c r="I58" s="22"/>
      <c r="J58" s="23">
        <f t="shared" si="1"/>
        <v>0</v>
      </c>
      <c r="K58" s="23">
        <f t="shared" si="2"/>
        <v>0</v>
      </c>
      <c r="L58" s="23">
        <f t="shared" si="3"/>
        <v>0</v>
      </c>
    </row>
    <row r="59" ht="15.75" customHeight="1">
      <c r="A59" s="12"/>
      <c r="B59" s="12"/>
      <c r="C59" s="22"/>
      <c r="D59" s="22"/>
      <c r="E59" s="12"/>
      <c r="F59" s="12"/>
      <c r="G59" s="12"/>
      <c r="H59" s="12">
        <v>1.0</v>
      </c>
      <c r="I59" s="22"/>
      <c r="J59" s="23">
        <f t="shared" si="1"/>
        <v>0</v>
      </c>
      <c r="K59" s="23">
        <f t="shared" si="2"/>
        <v>0</v>
      </c>
      <c r="L59" s="23">
        <f t="shared" si="3"/>
        <v>0</v>
      </c>
    </row>
    <row r="60" ht="15.75" customHeight="1">
      <c r="A60" s="12"/>
      <c r="B60" s="12"/>
      <c r="C60" s="22"/>
      <c r="D60" s="22"/>
      <c r="E60" s="12"/>
      <c r="F60" s="12"/>
      <c r="G60" s="12"/>
      <c r="H60" s="12">
        <v>1.0</v>
      </c>
      <c r="I60" s="22"/>
      <c r="J60" s="23">
        <f t="shared" si="1"/>
        <v>0</v>
      </c>
      <c r="K60" s="23">
        <f t="shared" si="2"/>
        <v>0</v>
      </c>
      <c r="L60" s="23">
        <f t="shared" si="3"/>
        <v>0</v>
      </c>
    </row>
    <row r="61" ht="15.75" customHeight="1">
      <c r="A61" s="12"/>
      <c r="B61" s="12"/>
      <c r="C61" s="22"/>
      <c r="D61" s="22"/>
      <c r="E61" s="12"/>
      <c r="F61" s="12"/>
      <c r="G61" s="12"/>
      <c r="H61" s="12">
        <v>1.0</v>
      </c>
      <c r="I61" s="22"/>
      <c r="J61" s="23">
        <f t="shared" si="1"/>
        <v>0</v>
      </c>
      <c r="K61" s="23">
        <f t="shared" si="2"/>
        <v>0</v>
      </c>
      <c r="L61" s="23">
        <f t="shared" si="3"/>
        <v>0</v>
      </c>
    </row>
    <row r="62" ht="15.75" customHeight="1">
      <c r="A62" s="12"/>
      <c r="B62" s="12"/>
      <c r="C62" s="22"/>
      <c r="D62" s="22"/>
      <c r="E62" s="12"/>
      <c r="F62" s="12"/>
      <c r="G62" s="12"/>
      <c r="H62" s="12">
        <v>1.0</v>
      </c>
      <c r="I62" s="22"/>
      <c r="J62" s="23">
        <f t="shared" si="1"/>
        <v>0</v>
      </c>
      <c r="K62" s="23">
        <f t="shared" si="2"/>
        <v>0</v>
      </c>
      <c r="L62" s="23">
        <f t="shared" si="3"/>
        <v>0</v>
      </c>
    </row>
    <row r="63" ht="15.75" customHeight="1">
      <c r="A63" s="12"/>
      <c r="B63" s="12"/>
      <c r="C63" s="22"/>
      <c r="D63" s="22"/>
      <c r="E63" s="12"/>
      <c r="F63" s="12"/>
      <c r="G63" s="12"/>
      <c r="H63" s="12">
        <v>1.0</v>
      </c>
      <c r="I63" s="22"/>
      <c r="J63" s="23">
        <f t="shared" si="1"/>
        <v>0</v>
      </c>
      <c r="K63" s="23">
        <f t="shared" si="2"/>
        <v>0</v>
      </c>
      <c r="L63" s="23">
        <f t="shared" si="3"/>
        <v>0</v>
      </c>
    </row>
    <row r="64" ht="15.75" customHeight="1">
      <c r="A64" s="12"/>
      <c r="B64" s="12"/>
      <c r="C64" s="22"/>
      <c r="D64" s="22"/>
      <c r="E64" s="12"/>
      <c r="F64" s="12"/>
      <c r="G64" s="12"/>
      <c r="H64" s="12">
        <v>1.0</v>
      </c>
      <c r="I64" s="22"/>
      <c r="J64" s="23">
        <f t="shared" si="1"/>
        <v>0</v>
      </c>
      <c r="K64" s="23">
        <f t="shared" si="2"/>
        <v>0</v>
      </c>
      <c r="L64" s="23">
        <f t="shared" si="3"/>
        <v>0</v>
      </c>
    </row>
    <row r="65" ht="15.75" customHeight="1">
      <c r="A65" s="12"/>
      <c r="B65" s="12"/>
      <c r="C65" s="22"/>
      <c r="D65" s="22"/>
      <c r="E65" s="12"/>
      <c r="F65" s="12"/>
      <c r="G65" s="12"/>
      <c r="H65" s="12">
        <v>1.0</v>
      </c>
      <c r="I65" s="22"/>
      <c r="J65" s="23">
        <f t="shared" si="1"/>
        <v>0</v>
      </c>
      <c r="K65" s="23">
        <f t="shared" si="2"/>
        <v>0</v>
      </c>
      <c r="L65" s="23">
        <f t="shared" si="3"/>
        <v>0</v>
      </c>
    </row>
    <row r="66" ht="15.75" customHeight="1">
      <c r="A66" s="12"/>
      <c r="B66" s="12"/>
      <c r="C66" s="22"/>
      <c r="D66" s="22"/>
      <c r="E66" s="12"/>
      <c r="F66" s="12"/>
      <c r="G66" s="12"/>
      <c r="H66" s="12">
        <v>1.0</v>
      </c>
      <c r="I66" s="22"/>
      <c r="J66" s="23">
        <f t="shared" si="1"/>
        <v>0</v>
      </c>
      <c r="K66" s="23">
        <f t="shared" si="2"/>
        <v>0</v>
      </c>
      <c r="L66" s="23">
        <f t="shared" si="3"/>
        <v>0</v>
      </c>
    </row>
    <row r="67" ht="15.75" customHeight="1">
      <c r="A67" s="12"/>
      <c r="B67" s="12"/>
      <c r="C67" s="22"/>
      <c r="D67" s="22"/>
      <c r="E67" s="12"/>
      <c r="F67" s="12"/>
      <c r="G67" s="12"/>
      <c r="H67" s="12">
        <v>1.0</v>
      </c>
      <c r="I67" s="22"/>
      <c r="J67" s="23">
        <f t="shared" si="1"/>
        <v>0</v>
      </c>
      <c r="K67" s="23">
        <f t="shared" si="2"/>
        <v>0</v>
      </c>
      <c r="L67" s="23">
        <f t="shared" si="3"/>
        <v>0</v>
      </c>
    </row>
    <row r="68" ht="15.75" customHeight="1">
      <c r="A68" s="12"/>
      <c r="B68" s="12"/>
      <c r="C68" s="22"/>
      <c r="D68" s="22"/>
      <c r="E68" s="12"/>
      <c r="F68" s="12"/>
      <c r="G68" s="12"/>
      <c r="H68" s="12">
        <v>1.0</v>
      </c>
      <c r="I68" s="22"/>
      <c r="J68" s="23">
        <f t="shared" si="1"/>
        <v>0</v>
      </c>
      <c r="K68" s="23">
        <f t="shared" si="2"/>
        <v>0</v>
      </c>
      <c r="L68" s="23">
        <f t="shared" si="3"/>
        <v>0</v>
      </c>
    </row>
    <row r="69" ht="15.75" customHeight="1">
      <c r="A69" s="12"/>
      <c r="B69" s="12"/>
      <c r="C69" s="22"/>
      <c r="D69" s="22"/>
      <c r="E69" s="12"/>
      <c r="F69" s="12"/>
      <c r="G69" s="12"/>
      <c r="H69" s="12">
        <v>1.0</v>
      </c>
      <c r="I69" s="22"/>
      <c r="J69" s="23">
        <f t="shared" si="1"/>
        <v>0</v>
      </c>
      <c r="K69" s="23">
        <f t="shared" si="2"/>
        <v>0</v>
      </c>
      <c r="L69" s="23">
        <f t="shared" si="3"/>
        <v>0</v>
      </c>
    </row>
    <row r="70" ht="15.75" customHeight="1">
      <c r="A70" s="12"/>
      <c r="B70" s="12"/>
      <c r="C70" s="22"/>
      <c r="D70" s="22"/>
      <c r="E70" s="12"/>
      <c r="F70" s="12"/>
      <c r="G70" s="12"/>
      <c r="H70" s="12">
        <v>1.0</v>
      </c>
      <c r="I70" s="22"/>
      <c r="J70" s="23">
        <f t="shared" si="1"/>
        <v>0</v>
      </c>
      <c r="K70" s="23">
        <f t="shared" si="2"/>
        <v>0</v>
      </c>
      <c r="L70" s="23">
        <f t="shared" si="3"/>
        <v>0</v>
      </c>
    </row>
    <row r="71" ht="15.75" customHeight="1">
      <c r="A71" s="12"/>
      <c r="B71" s="12"/>
      <c r="C71" s="22"/>
      <c r="D71" s="22"/>
      <c r="E71" s="12"/>
      <c r="F71" s="12"/>
      <c r="G71" s="12"/>
      <c r="H71" s="12">
        <v>1.0</v>
      </c>
      <c r="I71" s="22"/>
      <c r="J71" s="23">
        <f t="shared" si="1"/>
        <v>0</v>
      </c>
      <c r="K71" s="23">
        <f t="shared" si="2"/>
        <v>0</v>
      </c>
      <c r="L71" s="23">
        <f t="shared" si="3"/>
        <v>0</v>
      </c>
    </row>
    <row r="72" ht="15.75" customHeight="1">
      <c r="A72" s="12"/>
      <c r="B72" s="12"/>
      <c r="C72" s="22"/>
      <c r="D72" s="22"/>
      <c r="E72" s="12"/>
      <c r="F72" s="12"/>
      <c r="G72" s="12"/>
      <c r="H72" s="12">
        <v>1.0</v>
      </c>
      <c r="I72" s="22"/>
      <c r="J72" s="23">
        <f t="shared" si="1"/>
        <v>0</v>
      </c>
      <c r="K72" s="23">
        <f t="shared" si="2"/>
        <v>0</v>
      </c>
      <c r="L72" s="23">
        <f t="shared" si="3"/>
        <v>0</v>
      </c>
    </row>
    <row r="73" ht="15.75" customHeight="1">
      <c r="A73" s="12"/>
      <c r="B73" s="12"/>
      <c r="C73" s="22"/>
      <c r="D73" s="22"/>
      <c r="E73" s="12"/>
      <c r="F73" s="12"/>
      <c r="G73" s="12"/>
      <c r="H73" s="12">
        <v>1.0</v>
      </c>
      <c r="I73" s="22"/>
      <c r="J73" s="23">
        <f t="shared" si="1"/>
        <v>0</v>
      </c>
      <c r="K73" s="23">
        <f t="shared" si="2"/>
        <v>0</v>
      </c>
      <c r="L73" s="23">
        <f t="shared" si="3"/>
        <v>0</v>
      </c>
    </row>
    <row r="74" ht="15.75" customHeight="1">
      <c r="A74" s="12"/>
      <c r="B74" s="12"/>
      <c r="C74" s="22"/>
      <c r="D74" s="22"/>
      <c r="E74" s="12"/>
      <c r="F74" s="12"/>
      <c r="G74" s="12"/>
      <c r="H74" s="12">
        <v>1.0</v>
      </c>
      <c r="I74" s="22"/>
      <c r="J74" s="23">
        <f t="shared" si="1"/>
        <v>0</v>
      </c>
      <c r="K74" s="23">
        <f t="shared" si="2"/>
        <v>0</v>
      </c>
      <c r="L74" s="23">
        <f t="shared" si="3"/>
        <v>0</v>
      </c>
    </row>
    <row r="75" ht="15.75" customHeight="1">
      <c r="A75" s="12"/>
      <c r="B75" s="12"/>
      <c r="C75" s="22"/>
      <c r="D75" s="22"/>
      <c r="E75" s="12"/>
      <c r="F75" s="12"/>
      <c r="G75" s="12"/>
      <c r="H75" s="12">
        <v>1.0</v>
      </c>
      <c r="I75" s="22"/>
      <c r="J75" s="23">
        <f t="shared" si="1"/>
        <v>0</v>
      </c>
      <c r="K75" s="23">
        <f t="shared" si="2"/>
        <v>0</v>
      </c>
      <c r="L75" s="23">
        <f t="shared" si="3"/>
        <v>0</v>
      </c>
    </row>
    <row r="76" ht="15.75" customHeight="1">
      <c r="A76" s="12"/>
      <c r="B76" s="12"/>
      <c r="C76" s="22"/>
      <c r="D76" s="22"/>
      <c r="E76" s="12"/>
      <c r="F76" s="12"/>
      <c r="G76" s="12"/>
      <c r="H76" s="12">
        <v>1.0</v>
      </c>
      <c r="I76" s="22"/>
      <c r="J76" s="23">
        <f t="shared" si="1"/>
        <v>0</v>
      </c>
      <c r="K76" s="23">
        <f t="shared" si="2"/>
        <v>0</v>
      </c>
      <c r="L76" s="23">
        <f t="shared" si="3"/>
        <v>0</v>
      </c>
    </row>
    <row r="77" ht="15.75" customHeight="1">
      <c r="A77" s="12"/>
      <c r="B77" s="12"/>
      <c r="C77" s="22"/>
      <c r="D77" s="22"/>
      <c r="E77" s="12"/>
      <c r="F77" s="12"/>
      <c r="G77" s="12"/>
      <c r="H77" s="12">
        <v>1.0</v>
      </c>
      <c r="I77" s="22"/>
      <c r="J77" s="23">
        <f t="shared" si="1"/>
        <v>0</v>
      </c>
      <c r="K77" s="23">
        <f t="shared" si="2"/>
        <v>0</v>
      </c>
      <c r="L77" s="23">
        <f t="shared" si="3"/>
        <v>0</v>
      </c>
    </row>
    <row r="78" ht="15.75" customHeight="1">
      <c r="A78" s="12"/>
      <c r="B78" s="12"/>
      <c r="C78" s="22"/>
      <c r="D78" s="22"/>
      <c r="E78" s="12"/>
      <c r="F78" s="12"/>
      <c r="G78" s="12"/>
      <c r="H78" s="12">
        <v>1.0</v>
      </c>
      <c r="I78" s="22"/>
      <c r="J78" s="23">
        <f t="shared" si="1"/>
        <v>0</v>
      </c>
      <c r="K78" s="23">
        <f t="shared" si="2"/>
        <v>0</v>
      </c>
      <c r="L78" s="23">
        <f t="shared" si="3"/>
        <v>0</v>
      </c>
    </row>
    <row r="79" ht="15.75" customHeight="1">
      <c r="A79" s="12"/>
      <c r="B79" s="12"/>
      <c r="C79" s="22"/>
      <c r="D79" s="22"/>
      <c r="E79" s="12"/>
      <c r="F79" s="12"/>
      <c r="G79" s="12"/>
      <c r="H79" s="12">
        <v>1.0</v>
      </c>
      <c r="I79" s="22"/>
      <c r="J79" s="23">
        <f t="shared" si="1"/>
        <v>0</v>
      </c>
      <c r="K79" s="23">
        <f t="shared" si="2"/>
        <v>0</v>
      </c>
      <c r="L79" s="23">
        <f t="shared" si="3"/>
        <v>0</v>
      </c>
    </row>
    <row r="80" ht="15.75" customHeight="1">
      <c r="A80" s="12"/>
      <c r="B80" s="12"/>
      <c r="C80" s="22"/>
      <c r="D80" s="22"/>
      <c r="E80" s="12"/>
      <c r="F80" s="12"/>
      <c r="G80" s="12"/>
      <c r="H80" s="12">
        <v>1.0</v>
      </c>
      <c r="I80" s="22"/>
      <c r="J80" s="23">
        <f t="shared" si="1"/>
        <v>0</v>
      </c>
      <c r="K80" s="23">
        <f t="shared" si="2"/>
        <v>0</v>
      </c>
      <c r="L80" s="23">
        <f t="shared" si="3"/>
        <v>0</v>
      </c>
    </row>
    <row r="81" ht="15.75" customHeight="1">
      <c r="A81" s="12"/>
      <c r="B81" s="12"/>
      <c r="C81" s="22"/>
      <c r="D81" s="22"/>
      <c r="E81" s="12"/>
      <c r="F81" s="12"/>
      <c r="G81" s="12"/>
      <c r="H81" s="12">
        <v>1.0</v>
      </c>
      <c r="I81" s="22"/>
      <c r="J81" s="23">
        <f t="shared" si="1"/>
        <v>0</v>
      </c>
      <c r="K81" s="23">
        <f t="shared" si="2"/>
        <v>0</v>
      </c>
      <c r="L81" s="23">
        <f t="shared" si="3"/>
        <v>0</v>
      </c>
    </row>
    <row r="82" ht="15.75" customHeight="1">
      <c r="A82" s="12"/>
      <c r="B82" s="12"/>
      <c r="C82" s="22"/>
      <c r="D82" s="22"/>
      <c r="E82" s="12"/>
      <c r="F82" s="12"/>
      <c r="G82" s="12"/>
      <c r="H82" s="12">
        <v>1.0</v>
      </c>
      <c r="I82" s="22"/>
      <c r="J82" s="23">
        <f t="shared" si="1"/>
        <v>0</v>
      </c>
      <c r="K82" s="23">
        <f t="shared" si="2"/>
        <v>0</v>
      </c>
      <c r="L82" s="23">
        <f t="shared" si="3"/>
        <v>0</v>
      </c>
    </row>
    <row r="83" ht="15.75" customHeight="1">
      <c r="A83" s="12"/>
      <c r="B83" s="12"/>
      <c r="C83" s="22"/>
      <c r="D83" s="22"/>
      <c r="E83" s="12"/>
      <c r="F83" s="12"/>
      <c r="G83" s="12"/>
      <c r="H83" s="12">
        <v>1.0</v>
      </c>
      <c r="I83" s="22"/>
      <c r="J83" s="23">
        <f t="shared" si="1"/>
        <v>0</v>
      </c>
      <c r="K83" s="23">
        <f t="shared" si="2"/>
        <v>0</v>
      </c>
      <c r="L83" s="23">
        <f t="shared" si="3"/>
        <v>0</v>
      </c>
    </row>
    <row r="84" ht="15.75" customHeight="1">
      <c r="A84" s="12"/>
      <c r="B84" s="12"/>
      <c r="C84" s="22"/>
      <c r="D84" s="22"/>
      <c r="E84" s="12"/>
      <c r="F84" s="12"/>
      <c r="G84" s="12"/>
      <c r="H84" s="12">
        <v>1.0</v>
      </c>
      <c r="I84" s="22"/>
      <c r="J84" s="23">
        <f t="shared" si="1"/>
        <v>0</v>
      </c>
      <c r="K84" s="23">
        <f t="shared" si="2"/>
        <v>0</v>
      </c>
      <c r="L84" s="23">
        <f t="shared" si="3"/>
        <v>0</v>
      </c>
    </row>
    <row r="85" ht="15.75" customHeight="1">
      <c r="A85" s="12"/>
      <c r="B85" s="12"/>
      <c r="C85" s="22"/>
      <c r="D85" s="22"/>
      <c r="E85" s="12"/>
      <c r="F85" s="12"/>
      <c r="G85" s="12"/>
      <c r="H85" s="12">
        <v>1.0</v>
      </c>
      <c r="I85" s="22"/>
      <c r="J85" s="23">
        <f t="shared" si="1"/>
        <v>0</v>
      </c>
      <c r="K85" s="23">
        <f t="shared" si="2"/>
        <v>0</v>
      </c>
      <c r="L85" s="23">
        <f t="shared" si="3"/>
        <v>0</v>
      </c>
    </row>
    <row r="86" ht="15.75" customHeight="1">
      <c r="A86" s="12"/>
      <c r="B86" s="12"/>
      <c r="C86" s="22"/>
      <c r="D86" s="22"/>
      <c r="E86" s="12"/>
      <c r="F86" s="12"/>
      <c r="G86" s="12"/>
      <c r="H86" s="12">
        <v>1.0</v>
      </c>
      <c r="I86" s="22"/>
      <c r="J86" s="23">
        <f t="shared" si="1"/>
        <v>0</v>
      </c>
      <c r="K86" s="23">
        <f t="shared" si="2"/>
        <v>0</v>
      </c>
      <c r="L86" s="23">
        <f t="shared" si="3"/>
        <v>0</v>
      </c>
    </row>
    <row r="87" ht="15.75" customHeight="1">
      <c r="A87" s="12"/>
      <c r="B87" s="12"/>
      <c r="C87" s="22"/>
      <c r="D87" s="22"/>
      <c r="E87" s="12"/>
      <c r="F87" s="12"/>
      <c r="G87" s="12"/>
      <c r="H87" s="12">
        <v>1.0</v>
      </c>
      <c r="I87" s="22"/>
      <c r="J87" s="23">
        <f t="shared" si="1"/>
        <v>0</v>
      </c>
      <c r="K87" s="23">
        <f t="shared" si="2"/>
        <v>0</v>
      </c>
      <c r="L87" s="23">
        <f t="shared" si="3"/>
        <v>0</v>
      </c>
    </row>
    <row r="88" ht="15.75" customHeight="1">
      <c r="A88" s="12"/>
      <c r="B88" s="12"/>
      <c r="C88" s="22"/>
      <c r="D88" s="22"/>
      <c r="E88" s="12"/>
      <c r="F88" s="12"/>
      <c r="G88" s="12"/>
      <c r="H88" s="12">
        <v>1.0</v>
      </c>
      <c r="I88" s="22"/>
      <c r="J88" s="23">
        <f t="shared" si="1"/>
        <v>0</v>
      </c>
      <c r="K88" s="23">
        <f t="shared" si="2"/>
        <v>0</v>
      </c>
      <c r="L88" s="23">
        <f t="shared" si="3"/>
        <v>0</v>
      </c>
    </row>
    <row r="89" ht="15.75" customHeight="1">
      <c r="A89" s="12"/>
      <c r="B89" s="12"/>
      <c r="C89" s="22"/>
      <c r="D89" s="22"/>
      <c r="E89" s="12"/>
      <c r="F89" s="12"/>
      <c r="G89" s="12"/>
      <c r="H89" s="12">
        <v>1.0</v>
      </c>
      <c r="I89" s="22"/>
      <c r="J89" s="23">
        <f t="shared" si="1"/>
        <v>0</v>
      </c>
      <c r="K89" s="23">
        <f t="shared" si="2"/>
        <v>0</v>
      </c>
      <c r="L89" s="23">
        <f t="shared" si="3"/>
        <v>0</v>
      </c>
    </row>
    <row r="90" ht="15.75" customHeight="1">
      <c r="A90" s="12"/>
      <c r="B90" s="12"/>
      <c r="C90" s="22"/>
      <c r="D90" s="22"/>
      <c r="E90" s="12"/>
      <c r="F90" s="12"/>
      <c r="G90" s="12"/>
      <c r="H90" s="12">
        <v>1.0</v>
      </c>
      <c r="I90" s="22"/>
      <c r="J90" s="23">
        <f t="shared" si="1"/>
        <v>0</v>
      </c>
      <c r="K90" s="23">
        <f t="shared" si="2"/>
        <v>0</v>
      </c>
      <c r="L90" s="23">
        <f t="shared" si="3"/>
        <v>0</v>
      </c>
    </row>
    <row r="91" ht="15.75" customHeight="1">
      <c r="A91" s="12"/>
      <c r="B91" s="12"/>
      <c r="C91" s="22"/>
      <c r="D91" s="22"/>
      <c r="E91" s="12"/>
      <c r="F91" s="12"/>
      <c r="G91" s="12"/>
      <c r="H91" s="12">
        <v>1.0</v>
      </c>
      <c r="I91" s="22"/>
      <c r="J91" s="23">
        <f t="shared" si="1"/>
        <v>0</v>
      </c>
      <c r="K91" s="23">
        <f t="shared" si="2"/>
        <v>0</v>
      </c>
      <c r="L91" s="23">
        <f t="shared" si="3"/>
        <v>0</v>
      </c>
    </row>
    <row r="92" ht="15.75" customHeight="1">
      <c r="A92" s="12"/>
      <c r="B92" s="12"/>
      <c r="C92" s="22"/>
      <c r="D92" s="22"/>
      <c r="E92" s="12"/>
      <c r="F92" s="12"/>
      <c r="G92" s="12"/>
      <c r="H92" s="12">
        <v>1.0</v>
      </c>
      <c r="I92" s="22"/>
      <c r="J92" s="23">
        <f t="shared" si="1"/>
        <v>0</v>
      </c>
      <c r="K92" s="23">
        <f t="shared" si="2"/>
        <v>0</v>
      </c>
      <c r="L92" s="23">
        <f t="shared" si="3"/>
        <v>0</v>
      </c>
    </row>
    <row r="93" ht="15.75" customHeight="1">
      <c r="A93" s="12"/>
      <c r="B93" s="12"/>
      <c r="C93" s="22"/>
      <c r="D93" s="22"/>
      <c r="E93" s="12"/>
      <c r="F93" s="12"/>
      <c r="G93" s="12"/>
      <c r="H93" s="12">
        <v>1.0</v>
      </c>
      <c r="I93" s="22"/>
      <c r="J93" s="23">
        <f t="shared" si="1"/>
        <v>0</v>
      </c>
      <c r="K93" s="23">
        <f t="shared" si="2"/>
        <v>0</v>
      </c>
      <c r="L93" s="23">
        <f t="shared" si="3"/>
        <v>0</v>
      </c>
    </row>
    <row r="94" ht="15.75" customHeight="1">
      <c r="A94" s="12"/>
      <c r="B94" s="12"/>
      <c r="C94" s="22"/>
      <c r="D94" s="22"/>
      <c r="E94" s="12"/>
      <c r="F94" s="12"/>
      <c r="G94" s="12"/>
      <c r="H94" s="12">
        <v>1.0</v>
      </c>
      <c r="I94" s="22"/>
      <c r="J94" s="23">
        <f t="shared" si="1"/>
        <v>0</v>
      </c>
      <c r="K94" s="23">
        <f t="shared" si="2"/>
        <v>0</v>
      </c>
      <c r="L94" s="23">
        <f t="shared" si="3"/>
        <v>0</v>
      </c>
    </row>
    <row r="95" ht="15.75" customHeight="1">
      <c r="A95" s="12"/>
      <c r="B95" s="12"/>
      <c r="C95" s="22"/>
      <c r="D95" s="22"/>
      <c r="E95" s="12"/>
      <c r="F95" s="12"/>
      <c r="G95" s="12"/>
      <c r="H95" s="12">
        <v>1.0</v>
      </c>
      <c r="I95" s="22"/>
      <c r="J95" s="23">
        <f t="shared" si="1"/>
        <v>0</v>
      </c>
      <c r="K95" s="23">
        <f t="shared" si="2"/>
        <v>0</v>
      </c>
      <c r="L95" s="23">
        <f t="shared" si="3"/>
        <v>0</v>
      </c>
    </row>
    <row r="96" ht="15.75" customHeight="1">
      <c r="A96" s="12"/>
      <c r="B96" s="12"/>
      <c r="C96" s="22"/>
      <c r="D96" s="22"/>
      <c r="E96" s="12"/>
      <c r="F96" s="12"/>
      <c r="G96" s="12"/>
      <c r="H96" s="12">
        <v>1.0</v>
      </c>
      <c r="I96" s="22"/>
      <c r="J96" s="23">
        <f t="shared" si="1"/>
        <v>0</v>
      </c>
      <c r="K96" s="23">
        <f t="shared" si="2"/>
        <v>0</v>
      </c>
      <c r="L96" s="23">
        <f t="shared" si="3"/>
        <v>0</v>
      </c>
    </row>
    <row r="97" ht="15.75" customHeight="1">
      <c r="A97" s="12"/>
      <c r="B97" s="12"/>
      <c r="C97" s="22"/>
      <c r="D97" s="22"/>
      <c r="E97" s="12"/>
      <c r="F97" s="12"/>
      <c r="G97" s="12"/>
      <c r="H97" s="12">
        <v>1.0</v>
      </c>
      <c r="I97" s="22"/>
      <c r="J97" s="23">
        <f t="shared" si="1"/>
        <v>0</v>
      </c>
      <c r="K97" s="23">
        <f t="shared" si="2"/>
        <v>0</v>
      </c>
      <c r="L97" s="23">
        <f t="shared" si="3"/>
        <v>0</v>
      </c>
    </row>
    <row r="98" ht="15.75" customHeight="1">
      <c r="A98" s="12"/>
      <c r="B98" s="12"/>
      <c r="C98" s="22"/>
      <c r="D98" s="22"/>
      <c r="E98" s="12"/>
      <c r="F98" s="12"/>
      <c r="G98" s="12"/>
      <c r="H98" s="12">
        <v>1.0</v>
      </c>
      <c r="I98" s="22"/>
      <c r="J98" s="23">
        <f t="shared" si="1"/>
        <v>0</v>
      </c>
      <c r="K98" s="23">
        <f t="shared" si="2"/>
        <v>0</v>
      </c>
      <c r="L98" s="23">
        <f t="shared" si="3"/>
        <v>0</v>
      </c>
    </row>
    <row r="99" ht="15.75" customHeight="1">
      <c r="A99" s="12"/>
      <c r="B99" s="12"/>
      <c r="C99" s="22"/>
      <c r="D99" s="22"/>
      <c r="E99" s="12"/>
      <c r="F99" s="12"/>
      <c r="G99" s="12"/>
      <c r="H99" s="12">
        <v>1.0</v>
      </c>
      <c r="I99" s="22"/>
      <c r="J99" s="23">
        <f t="shared" si="1"/>
        <v>0</v>
      </c>
      <c r="K99" s="23">
        <f t="shared" si="2"/>
        <v>0</v>
      </c>
      <c r="L99" s="23">
        <f t="shared" si="3"/>
        <v>0</v>
      </c>
    </row>
    <row r="100" ht="15.75" customHeight="1">
      <c r="A100" s="12"/>
      <c r="B100" s="12"/>
      <c r="C100" s="22"/>
      <c r="D100" s="22"/>
      <c r="E100" s="12"/>
      <c r="F100" s="12"/>
      <c r="G100" s="12"/>
      <c r="H100" s="12">
        <v>1.0</v>
      </c>
      <c r="I100" s="22"/>
      <c r="J100" s="23">
        <f t="shared" si="1"/>
        <v>0</v>
      </c>
      <c r="K100" s="23">
        <f t="shared" si="2"/>
        <v>0</v>
      </c>
      <c r="L100" s="23">
        <f t="shared" si="3"/>
        <v>0</v>
      </c>
    </row>
    <row r="101" ht="15.75" customHeight="1">
      <c r="A101" s="12"/>
      <c r="B101" s="12"/>
      <c r="C101" s="22"/>
      <c r="D101" s="22"/>
      <c r="E101" s="12"/>
      <c r="F101" s="12"/>
      <c r="G101" s="12"/>
      <c r="H101" s="12">
        <v>1.0</v>
      </c>
      <c r="I101" s="22"/>
      <c r="J101" s="23">
        <f t="shared" si="1"/>
        <v>0</v>
      </c>
      <c r="K101" s="23">
        <f t="shared" si="2"/>
        <v>0</v>
      </c>
      <c r="L101" s="23">
        <f t="shared" si="3"/>
        <v>0</v>
      </c>
    </row>
    <row r="102" ht="15.75" customHeight="1">
      <c r="A102" s="12"/>
      <c r="B102" s="12"/>
      <c r="C102" s="22"/>
      <c r="D102" s="22"/>
      <c r="E102" s="12"/>
      <c r="F102" s="12"/>
      <c r="G102" s="12"/>
      <c r="H102" s="12">
        <v>1.0</v>
      </c>
      <c r="I102" s="22"/>
      <c r="J102" s="23">
        <f t="shared" si="1"/>
        <v>0</v>
      </c>
      <c r="K102" s="23">
        <f t="shared" si="2"/>
        <v>0</v>
      </c>
      <c r="L102" s="23">
        <f t="shared" si="3"/>
        <v>0</v>
      </c>
    </row>
    <row r="103" ht="15.75" customHeight="1">
      <c r="A103" s="12"/>
      <c r="B103" s="12"/>
      <c r="C103" s="22"/>
      <c r="D103" s="22"/>
      <c r="E103" s="12"/>
      <c r="F103" s="12"/>
      <c r="G103" s="12"/>
      <c r="H103" s="12">
        <v>1.0</v>
      </c>
      <c r="I103" s="22"/>
      <c r="J103" s="23">
        <f t="shared" si="1"/>
        <v>0</v>
      </c>
      <c r="K103" s="23">
        <f t="shared" si="2"/>
        <v>0</v>
      </c>
      <c r="L103" s="23">
        <f t="shared" si="3"/>
        <v>0</v>
      </c>
    </row>
    <row r="104" ht="15.75" customHeight="1">
      <c r="A104" s="12"/>
      <c r="B104" s="12"/>
      <c r="C104" s="22"/>
      <c r="D104" s="22"/>
      <c r="E104" s="12"/>
      <c r="F104" s="12"/>
      <c r="G104" s="12"/>
      <c r="H104" s="12">
        <v>1.0</v>
      </c>
      <c r="I104" s="22"/>
      <c r="J104" s="23">
        <f t="shared" si="1"/>
        <v>0</v>
      </c>
      <c r="K104" s="23">
        <f t="shared" si="2"/>
        <v>0</v>
      </c>
      <c r="L104" s="23">
        <f t="shared" si="3"/>
        <v>0</v>
      </c>
    </row>
    <row r="105" ht="15.75" customHeight="1">
      <c r="A105" s="12"/>
      <c r="B105" s="12"/>
      <c r="C105" s="22"/>
      <c r="D105" s="22"/>
      <c r="E105" s="12"/>
      <c r="F105" s="12"/>
      <c r="G105" s="12"/>
      <c r="H105" s="12">
        <v>1.0</v>
      </c>
      <c r="I105" s="22"/>
      <c r="J105" s="23">
        <f t="shared" si="1"/>
        <v>0</v>
      </c>
      <c r="K105" s="23">
        <f t="shared" si="2"/>
        <v>0</v>
      </c>
      <c r="L105" s="23">
        <f t="shared" si="3"/>
        <v>0</v>
      </c>
    </row>
    <row r="106" ht="15.75" customHeight="1">
      <c r="A106" s="12"/>
      <c r="B106" s="12"/>
      <c r="C106" s="22"/>
      <c r="D106" s="22"/>
      <c r="E106" s="12"/>
      <c r="F106" s="12"/>
      <c r="G106" s="12"/>
      <c r="H106" s="12">
        <v>1.0</v>
      </c>
      <c r="I106" s="22"/>
      <c r="J106" s="23">
        <f t="shared" si="1"/>
        <v>0</v>
      </c>
      <c r="K106" s="23">
        <f t="shared" si="2"/>
        <v>0</v>
      </c>
      <c r="L106" s="23">
        <f t="shared" si="3"/>
        <v>0</v>
      </c>
    </row>
    <row r="107" ht="15.75" customHeight="1">
      <c r="A107" s="12"/>
      <c r="B107" s="12"/>
      <c r="C107" s="22"/>
      <c r="D107" s="22"/>
      <c r="E107" s="12"/>
      <c r="F107" s="12"/>
      <c r="G107" s="12"/>
      <c r="H107" s="12">
        <v>1.0</v>
      </c>
      <c r="I107" s="22"/>
      <c r="J107" s="23">
        <f t="shared" si="1"/>
        <v>0</v>
      </c>
      <c r="K107" s="23">
        <f t="shared" si="2"/>
        <v>0</v>
      </c>
      <c r="L107" s="23">
        <f t="shared" si="3"/>
        <v>0</v>
      </c>
    </row>
    <row r="108" ht="15.75" customHeight="1">
      <c r="A108" s="12"/>
      <c r="B108" s="12"/>
      <c r="C108" s="22"/>
      <c r="D108" s="22"/>
      <c r="E108" s="12"/>
      <c r="F108" s="12"/>
      <c r="G108" s="12"/>
      <c r="H108" s="12">
        <v>1.0</v>
      </c>
      <c r="I108" s="22"/>
      <c r="J108" s="23">
        <f t="shared" si="1"/>
        <v>0</v>
      </c>
      <c r="K108" s="23">
        <f t="shared" si="2"/>
        <v>0</v>
      </c>
      <c r="L108" s="23">
        <f t="shared" si="3"/>
        <v>0</v>
      </c>
    </row>
    <row r="109" ht="15.75" customHeight="1">
      <c r="A109" s="12"/>
      <c r="B109" s="12"/>
      <c r="C109" s="22"/>
      <c r="D109" s="22"/>
      <c r="E109" s="12"/>
      <c r="F109" s="12"/>
      <c r="G109" s="12"/>
      <c r="H109" s="12">
        <v>1.0</v>
      </c>
      <c r="I109" s="22"/>
      <c r="J109" s="23">
        <f t="shared" si="1"/>
        <v>0</v>
      </c>
      <c r="K109" s="23">
        <f t="shared" si="2"/>
        <v>0</v>
      </c>
      <c r="L109" s="23">
        <f t="shared" si="3"/>
        <v>0</v>
      </c>
    </row>
    <row r="110" ht="15.75" customHeight="1">
      <c r="A110" s="12"/>
      <c r="B110" s="12"/>
      <c r="C110" s="22"/>
      <c r="D110" s="22"/>
      <c r="E110" s="12"/>
      <c r="F110" s="12"/>
      <c r="G110" s="12"/>
      <c r="H110" s="12">
        <v>1.0</v>
      </c>
      <c r="I110" s="22"/>
      <c r="J110" s="23">
        <f t="shared" si="1"/>
        <v>0</v>
      </c>
      <c r="K110" s="23">
        <f t="shared" si="2"/>
        <v>0</v>
      </c>
      <c r="L110" s="23">
        <f t="shared" si="3"/>
        <v>0</v>
      </c>
    </row>
    <row r="111" ht="15.75" customHeight="1">
      <c r="A111" s="12"/>
      <c r="B111" s="12"/>
      <c r="C111" s="22"/>
      <c r="D111" s="22"/>
      <c r="E111" s="12"/>
      <c r="F111" s="12"/>
      <c r="G111" s="12"/>
      <c r="H111" s="12">
        <v>1.0</v>
      </c>
      <c r="I111" s="22"/>
      <c r="J111" s="23">
        <f t="shared" si="1"/>
        <v>0</v>
      </c>
      <c r="K111" s="23">
        <f t="shared" si="2"/>
        <v>0</v>
      </c>
      <c r="L111" s="23">
        <f t="shared" si="3"/>
        <v>0</v>
      </c>
    </row>
    <row r="112" ht="15.75" customHeight="1">
      <c r="A112" s="12"/>
      <c r="B112" s="12"/>
      <c r="C112" s="22"/>
      <c r="D112" s="22"/>
      <c r="E112" s="12"/>
      <c r="F112" s="12"/>
      <c r="G112" s="12"/>
      <c r="H112" s="12">
        <v>1.0</v>
      </c>
      <c r="I112" s="22"/>
      <c r="J112" s="23">
        <f t="shared" si="1"/>
        <v>0</v>
      </c>
      <c r="K112" s="23">
        <f t="shared" si="2"/>
        <v>0</v>
      </c>
      <c r="L112" s="23">
        <f t="shared" si="3"/>
        <v>0</v>
      </c>
    </row>
    <row r="113" ht="15.75" customHeight="1">
      <c r="A113" s="12"/>
      <c r="B113" s="12"/>
      <c r="C113" s="22"/>
      <c r="D113" s="22"/>
      <c r="E113" s="12"/>
      <c r="F113" s="12"/>
      <c r="G113" s="12"/>
      <c r="H113" s="12">
        <v>1.0</v>
      </c>
      <c r="I113" s="22"/>
      <c r="J113" s="23">
        <f t="shared" si="1"/>
        <v>0</v>
      </c>
      <c r="K113" s="23">
        <f t="shared" si="2"/>
        <v>0</v>
      </c>
      <c r="L113" s="23">
        <f t="shared" si="3"/>
        <v>0</v>
      </c>
    </row>
    <row r="114" ht="15.75" customHeight="1">
      <c r="A114" s="12"/>
      <c r="B114" s="12"/>
      <c r="C114" s="22"/>
      <c r="D114" s="22"/>
      <c r="E114" s="12"/>
      <c r="F114" s="12"/>
      <c r="G114" s="12"/>
      <c r="H114" s="12">
        <v>1.0</v>
      </c>
      <c r="I114" s="22"/>
      <c r="J114" s="23">
        <f t="shared" si="1"/>
        <v>0</v>
      </c>
      <c r="K114" s="23">
        <f t="shared" si="2"/>
        <v>0</v>
      </c>
      <c r="L114" s="23">
        <f t="shared" si="3"/>
        <v>0</v>
      </c>
    </row>
    <row r="115" ht="15.75" customHeight="1">
      <c r="A115" s="12"/>
      <c r="B115" s="12"/>
      <c r="C115" s="22"/>
      <c r="D115" s="22"/>
      <c r="E115" s="12"/>
      <c r="F115" s="12"/>
      <c r="G115" s="12"/>
      <c r="H115" s="12">
        <v>1.0</v>
      </c>
      <c r="I115" s="22"/>
      <c r="J115" s="23">
        <f t="shared" si="1"/>
        <v>0</v>
      </c>
      <c r="K115" s="23">
        <f t="shared" si="2"/>
        <v>0</v>
      </c>
      <c r="L115" s="23">
        <f t="shared" si="3"/>
        <v>0</v>
      </c>
    </row>
    <row r="116" ht="15.75" customHeight="1">
      <c r="A116" s="12"/>
      <c r="B116" s="12"/>
      <c r="C116" s="22"/>
      <c r="D116" s="22"/>
      <c r="E116" s="12"/>
      <c r="F116" s="12"/>
      <c r="G116" s="12"/>
      <c r="H116" s="12">
        <v>1.0</v>
      </c>
      <c r="I116" s="22"/>
      <c r="J116" s="23">
        <f t="shared" si="1"/>
        <v>0</v>
      </c>
      <c r="K116" s="23">
        <f t="shared" si="2"/>
        <v>0</v>
      </c>
      <c r="L116" s="23">
        <f t="shared" si="3"/>
        <v>0</v>
      </c>
    </row>
    <row r="117" ht="15.75" customHeight="1">
      <c r="A117" s="12"/>
      <c r="B117" s="12"/>
      <c r="C117" s="22"/>
      <c r="D117" s="22"/>
      <c r="E117" s="12"/>
      <c r="F117" s="12"/>
      <c r="G117" s="12"/>
      <c r="H117" s="12">
        <v>1.0</v>
      </c>
      <c r="I117" s="22"/>
      <c r="J117" s="23">
        <f t="shared" si="1"/>
        <v>0</v>
      </c>
      <c r="K117" s="23">
        <f t="shared" si="2"/>
        <v>0</v>
      </c>
      <c r="L117" s="23">
        <f t="shared" si="3"/>
        <v>0</v>
      </c>
    </row>
    <row r="118" ht="15.75" customHeight="1">
      <c r="A118" s="12"/>
      <c r="B118" s="12"/>
      <c r="C118" s="22"/>
      <c r="D118" s="22"/>
      <c r="E118" s="12"/>
      <c r="F118" s="12"/>
      <c r="G118" s="12"/>
      <c r="H118" s="12">
        <v>1.0</v>
      </c>
      <c r="I118" s="22"/>
      <c r="J118" s="23">
        <f t="shared" si="1"/>
        <v>0</v>
      </c>
      <c r="K118" s="23">
        <f t="shared" si="2"/>
        <v>0</v>
      </c>
      <c r="L118" s="23">
        <f t="shared" si="3"/>
        <v>0</v>
      </c>
    </row>
    <row r="119" ht="15.75" customHeight="1">
      <c r="A119" s="12"/>
      <c r="B119" s="12"/>
      <c r="C119" s="22"/>
      <c r="D119" s="22"/>
      <c r="E119" s="12"/>
      <c r="F119" s="12"/>
      <c r="G119" s="12"/>
      <c r="H119" s="12">
        <v>1.0</v>
      </c>
      <c r="I119" s="22"/>
      <c r="J119" s="23">
        <f t="shared" si="1"/>
        <v>0</v>
      </c>
      <c r="K119" s="23">
        <f t="shared" si="2"/>
        <v>0</v>
      </c>
      <c r="L119" s="23">
        <f t="shared" si="3"/>
        <v>0</v>
      </c>
    </row>
    <row r="120" ht="15.75" customHeight="1">
      <c r="A120" s="12"/>
      <c r="B120" s="12"/>
      <c r="C120" s="22"/>
      <c r="D120" s="22"/>
      <c r="E120" s="12"/>
      <c r="F120" s="12"/>
      <c r="G120" s="12"/>
      <c r="H120" s="12">
        <v>1.0</v>
      </c>
      <c r="I120" s="22"/>
      <c r="J120" s="23">
        <f t="shared" si="1"/>
        <v>0</v>
      </c>
      <c r="K120" s="23">
        <f t="shared" si="2"/>
        <v>0</v>
      </c>
      <c r="L120" s="23">
        <f t="shared" si="3"/>
        <v>0</v>
      </c>
    </row>
    <row r="121" ht="15.75" customHeight="1">
      <c r="A121" s="12"/>
      <c r="B121" s="12"/>
      <c r="C121" s="22"/>
      <c r="D121" s="22"/>
      <c r="E121" s="12"/>
      <c r="F121" s="12"/>
      <c r="G121" s="12"/>
      <c r="H121" s="12">
        <v>1.0</v>
      </c>
      <c r="I121" s="22"/>
      <c r="J121" s="23">
        <f t="shared" si="1"/>
        <v>0</v>
      </c>
      <c r="K121" s="23">
        <f t="shared" si="2"/>
        <v>0</v>
      </c>
      <c r="L121" s="23">
        <f t="shared" si="3"/>
        <v>0</v>
      </c>
    </row>
    <row r="122" ht="15.75" customHeight="1">
      <c r="A122" s="12"/>
      <c r="B122" s="12"/>
      <c r="C122" s="22"/>
      <c r="D122" s="22"/>
      <c r="E122" s="12"/>
      <c r="F122" s="12"/>
      <c r="G122" s="12"/>
      <c r="H122" s="12">
        <v>1.0</v>
      </c>
      <c r="I122" s="22"/>
      <c r="J122" s="23">
        <f t="shared" si="1"/>
        <v>0</v>
      </c>
      <c r="K122" s="23">
        <f t="shared" si="2"/>
        <v>0</v>
      </c>
      <c r="L122" s="23">
        <f t="shared" si="3"/>
        <v>0</v>
      </c>
    </row>
    <row r="123" ht="15.75" customHeight="1">
      <c r="A123" s="12"/>
      <c r="B123" s="12"/>
      <c r="C123" s="22"/>
      <c r="D123" s="22"/>
      <c r="E123" s="12"/>
      <c r="F123" s="12"/>
      <c r="G123" s="12"/>
      <c r="H123" s="12">
        <v>1.0</v>
      </c>
      <c r="I123" s="22"/>
      <c r="J123" s="23">
        <f t="shared" si="1"/>
        <v>0</v>
      </c>
      <c r="K123" s="23">
        <f t="shared" si="2"/>
        <v>0</v>
      </c>
      <c r="L123" s="23">
        <f t="shared" si="3"/>
        <v>0</v>
      </c>
    </row>
    <row r="124" ht="15.75" customHeight="1">
      <c r="A124" s="12"/>
      <c r="B124" s="12"/>
      <c r="C124" s="22"/>
      <c r="D124" s="22"/>
      <c r="E124" s="12"/>
      <c r="F124" s="12"/>
      <c r="G124" s="12"/>
      <c r="H124" s="12">
        <v>1.0</v>
      </c>
      <c r="I124" s="22"/>
      <c r="J124" s="23">
        <f t="shared" si="1"/>
        <v>0</v>
      </c>
      <c r="K124" s="23">
        <f t="shared" si="2"/>
        <v>0</v>
      </c>
      <c r="L124" s="23">
        <f t="shared" si="3"/>
        <v>0</v>
      </c>
    </row>
    <row r="125" ht="15.75" customHeight="1">
      <c r="A125" s="12"/>
      <c r="B125" s="12"/>
      <c r="C125" s="22"/>
      <c r="D125" s="22"/>
      <c r="E125" s="12"/>
      <c r="F125" s="12"/>
      <c r="G125" s="12"/>
      <c r="H125" s="12">
        <v>1.0</v>
      </c>
      <c r="I125" s="22"/>
      <c r="J125" s="23">
        <f t="shared" si="1"/>
        <v>0</v>
      </c>
      <c r="K125" s="23">
        <f t="shared" si="2"/>
        <v>0</v>
      </c>
      <c r="L125" s="23">
        <f t="shared" si="3"/>
        <v>0</v>
      </c>
    </row>
    <row r="126" ht="15.75" customHeight="1">
      <c r="A126" s="12"/>
      <c r="B126" s="12"/>
      <c r="C126" s="22"/>
      <c r="D126" s="22"/>
      <c r="E126" s="12"/>
      <c r="F126" s="12"/>
      <c r="G126" s="12"/>
      <c r="H126" s="12">
        <v>1.0</v>
      </c>
      <c r="I126" s="22"/>
      <c r="J126" s="23">
        <f t="shared" si="1"/>
        <v>0</v>
      </c>
      <c r="K126" s="23">
        <f t="shared" si="2"/>
        <v>0</v>
      </c>
      <c r="L126" s="23">
        <f t="shared" si="3"/>
        <v>0</v>
      </c>
    </row>
    <row r="127" ht="15.75" customHeight="1">
      <c r="A127" s="12"/>
      <c r="B127" s="12"/>
      <c r="C127" s="22"/>
      <c r="D127" s="22"/>
      <c r="E127" s="12"/>
      <c r="F127" s="12"/>
      <c r="G127" s="12"/>
      <c r="H127" s="12">
        <v>1.0</v>
      </c>
      <c r="I127" s="22"/>
      <c r="J127" s="23">
        <f t="shared" si="1"/>
        <v>0</v>
      </c>
      <c r="K127" s="23">
        <f t="shared" si="2"/>
        <v>0</v>
      </c>
      <c r="L127" s="23">
        <f t="shared" si="3"/>
        <v>0</v>
      </c>
    </row>
    <row r="128" ht="15.75" customHeight="1">
      <c r="A128" s="12"/>
      <c r="B128" s="12"/>
      <c r="C128" s="22"/>
      <c r="D128" s="22"/>
      <c r="E128" s="12"/>
      <c r="F128" s="12"/>
      <c r="G128" s="12"/>
      <c r="H128" s="12">
        <v>1.0</v>
      </c>
      <c r="I128" s="22"/>
      <c r="J128" s="23">
        <f t="shared" si="1"/>
        <v>0</v>
      </c>
      <c r="K128" s="23">
        <f t="shared" si="2"/>
        <v>0</v>
      </c>
      <c r="L128" s="23">
        <f t="shared" si="3"/>
        <v>0</v>
      </c>
    </row>
    <row r="129" ht="15.75" customHeight="1">
      <c r="A129" s="12"/>
      <c r="B129" s="12"/>
      <c r="C129" s="22"/>
      <c r="D129" s="22"/>
      <c r="E129" s="12"/>
      <c r="F129" s="12"/>
      <c r="G129" s="12"/>
      <c r="H129" s="12">
        <v>1.0</v>
      </c>
      <c r="I129" s="22"/>
      <c r="J129" s="23">
        <f t="shared" si="1"/>
        <v>0</v>
      </c>
      <c r="K129" s="23">
        <f t="shared" si="2"/>
        <v>0</v>
      </c>
      <c r="L129" s="23">
        <f t="shared" si="3"/>
        <v>0</v>
      </c>
    </row>
    <row r="130" ht="15.75" customHeight="1">
      <c r="A130" s="12"/>
      <c r="B130" s="12"/>
      <c r="C130" s="22"/>
      <c r="D130" s="22"/>
      <c r="E130" s="12"/>
      <c r="F130" s="12"/>
      <c r="G130" s="12"/>
      <c r="H130" s="12">
        <v>1.0</v>
      </c>
      <c r="I130" s="22"/>
      <c r="J130" s="23">
        <f t="shared" si="1"/>
        <v>0</v>
      </c>
      <c r="K130" s="23">
        <f t="shared" si="2"/>
        <v>0</v>
      </c>
      <c r="L130" s="23">
        <f t="shared" si="3"/>
        <v>0</v>
      </c>
    </row>
    <row r="131" ht="15.75" customHeight="1">
      <c r="A131" s="12"/>
      <c r="B131" s="12"/>
      <c r="C131" s="22"/>
      <c r="D131" s="22"/>
      <c r="E131" s="12"/>
      <c r="F131" s="12"/>
      <c r="G131" s="12"/>
      <c r="H131" s="12">
        <v>1.0</v>
      </c>
      <c r="I131" s="22"/>
      <c r="J131" s="23">
        <f t="shared" si="1"/>
        <v>0</v>
      </c>
      <c r="K131" s="23">
        <f t="shared" si="2"/>
        <v>0</v>
      </c>
      <c r="L131" s="23">
        <f t="shared" si="3"/>
        <v>0</v>
      </c>
    </row>
    <row r="132" ht="15.75" customHeight="1">
      <c r="A132" s="12"/>
      <c r="B132" s="12"/>
      <c r="C132" s="22"/>
      <c r="D132" s="22"/>
      <c r="E132" s="12"/>
      <c r="F132" s="12"/>
      <c r="G132" s="12"/>
      <c r="H132" s="12">
        <v>1.0</v>
      </c>
      <c r="I132" s="22"/>
      <c r="J132" s="23">
        <f t="shared" si="1"/>
        <v>0</v>
      </c>
      <c r="K132" s="23">
        <f t="shared" si="2"/>
        <v>0</v>
      </c>
      <c r="L132" s="23">
        <f t="shared" si="3"/>
        <v>0</v>
      </c>
    </row>
    <row r="133" ht="15.75" customHeight="1">
      <c r="A133" s="12"/>
      <c r="B133" s="12"/>
      <c r="C133" s="22"/>
      <c r="D133" s="22"/>
      <c r="E133" s="12"/>
      <c r="F133" s="12"/>
      <c r="G133" s="12"/>
      <c r="H133" s="12">
        <v>1.0</v>
      </c>
      <c r="I133" s="22"/>
      <c r="J133" s="23">
        <f t="shared" si="1"/>
        <v>0</v>
      </c>
      <c r="K133" s="23">
        <f t="shared" si="2"/>
        <v>0</v>
      </c>
      <c r="L133" s="23">
        <f t="shared" si="3"/>
        <v>0</v>
      </c>
    </row>
    <row r="134" ht="15.75" customHeight="1">
      <c r="A134" s="12"/>
      <c r="B134" s="12"/>
      <c r="C134" s="22"/>
      <c r="D134" s="22"/>
      <c r="E134" s="12"/>
      <c r="F134" s="12"/>
      <c r="G134" s="12"/>
      <c r="H134" s="12">
        <v>1.0</v>
      </c>
      <c r="I134" s="22"/>
      <c r="J134" s="23">
        <f t="shared" si="1"/>
        <v>0</v>
      </c>
      <c r="K134" s="23">
        <f t="shared" si="2"/>
        <v>0</v>
      </c>
      <c r="L134" s="23">
        <f t="shared" si="3"/>
        <v>0</v>
      </c>
    </row>
    <row r="135" ht="15.75" customHeight="1">
      <c r="A135" s="12"/>
      <c r="B135" s="12"/>
      <c r="C135" s="22"/>
      <c r="D135" s="22"/>
      <c r="E135" s="12"/>
      <c r="F135" s="12"/>
      <c r="G135" s="12"/>
      <c r="H135" s="12">
        <v>1.0</v>
      </c>
      <c r="I135" s="22"/>
      <c r="J135" s="23">
        <f t="shared" si="1"/>
        <v>0</v>
      </c>
      <c r="K135" s="23">
        <f t="shared" si="2"/>
        <v>0</v>
      </c>
      <c r="L135" s="23">
        <f t="shared" si="3"/>
        <v>0</v>
      </c>
    </row>
    <row r="136" ht="15.75" customHeight="1">
      <c r="A136" s="12"/>
      <c r="B136" s="12"/>
      <c r="C136" s="22"/>
      <c r="D136" s="22"/>
      <c r="E136" s="12"/>
      <c r="F136" s="12"/>
      <c r="G136" s="12"/>
      <c r="H136" s="12">
        <v>1.0</v>
      </c>
      <c r="I136" s="22"/>
      <c r="J136" s="23">
        <f t="shared" si="1"/>
        <v>0</v>
      </c>
      <c r="K136" s="23">
        <f t="shared" si="2"/>
        <v>0</v>
      </c>
      <c r="L136" s="23">
        <f t="shared" si="3"/>
        <v>0</v>
      </c>
    </row>
    <row r="137" ht="15.75" customHeight="1">
      <c r="A137" s="12"/>
      <c r="B137" s="12"/>
      <c r="C137" s="22"/>
      <c r="D137" s="22"/>
      <c r="E137" s="12"/>
      <c r="F137" s="12"/>
      <c r="G137" s="12"/>
      <c r="H137" s="12">
        <v>1.0</v>
      </c>
      <c r="I137" s="22"/>
      <c r="J137" s="23">
        <f t="shared" si="1"/>
        <v>0</v>
      </c>
      <c r="K137" s="23">
        <f t="shared" si="2"/>
        <v>0</v>
      </c>
      <c r="L137" s="23">
        <f t="shared" si="3"/>
        <v>0</v>
      </c>
    </row>
    <row r="138" ht="15.75" customHeight="1">
      <c r="A138" s="12"/>
      <c r="B138" s="12"/>
      <c r="C138" s="22"/>
      <c r="D138" s="22"/>
      <c r="E138" s="12"/>
      <c r="F138" s="12"/>
      <c r="G138" s="12"/>
      <c r="H138" s="12">
        <v>1.0</v>
      </c>
      <c r="I138" s="22"/>
      <c r="J138" s="23">
        <f t="shared" si="1"/>
        <v>0</v>
      </c>
      <c r="K138" s="23">
        <f t="shared" si="2"/>
        <v>0</v>
      </c>
      <c r="L138" s="23">
        <f t="shared" si="3"/>
        <v>0</v>
      </c>
    </row>
    <row r="139" ht="15.75" customHeight="1">
      <c r="A139" s="12"/>
      <c r="B139" s="12"/>
      <c r="C139" s="22"/>
      <c r="D139" s="22"/>
      <c r="E139" s="12"/>
      <c r="F139" s="12"/>
      <c r="G139" s="12"/>
      <c r="H139" s="12">
        <v>1.0</v>
      </c>
      <c r="I139" s="22"/>
      <c r="J139" s="23">
        <f t="shared" si="1"/>
        <v>0</v>
      </c>
      <c r="K139" s="23">
        <f t="shared" si="2"/>
        <v>0</v>
      </c>
      <c r="L139" s="23">
        <f t="shared" si="3"/>
        <v>0</v>
      </c>
    </row>
    <row r="140" ht="15.75" customHeight="1">
      <c r="A140" s="12"/>
      <c r="B140" s="12"/>
      <c r="C140" s="22"/>
      <c r="D140" s="22"/>
      <c r="E140" s="12"/>
      <c r="F140" s="12"/>
      <c r="G140" s="12"/>
      <c r="H140" s="12">
        <v>1.0</v>
      </c>
      <c r="I140" s="22"/>
      <c r="J140" s="23">
        <f t="shared" si="1"/>
        <v>0</v>
      </c>
      <c r="K140" s="23">
        <f t="shared" si="2"/>
        <v>0</v>
      </c>
      <c r="L140" s="23">
        <f t="shared" si="3"/>
        <v>0</v>
      </c>
    </row>
    <row r="141" ht="15.75" customHeight="1">
      <c r="A141" s="12"/>
      <c r="B141" s="12"/>
      <c r="C141" s="22"/>
      <c r="D141" s="22"/>
      <c r="E141" s="12"/>
      <c r="F141" s="12"/>
      <c r="G141" s="12"/>
      <c r="H141" s="12">
        <v>1.0</v>
      </c>
      <c r="I141" s="22"/>
      <c r="J141" s="23">
        <f t="shared" si="1"/>
        <v>0</v>
      </c>
      <c r="K141" s="23">
        <f t="shared" si="2"/>
        <v>0</v>
      </c>
      <c r="L141" s="23">
        <f t="shared" si="3"/>
        <v>0</v>
      </c>
    </row>
    <row r="142" ht="15.75" customHeight="1">
      <c r="A142" s="12"/>
      <c r="B142" s="12"/>
      <c r="C142" s="22"/>
      <c r="D142" s="22"/>
      <c r="E142" s="12"/>
      <c r="F142" s="12"/>
      <c r="G142" s="12"/>
      <c r="H142" s="12">
        <v>1.0</v>
      </c>
      <c r="I142" s="22"/>
      <c r="J142" s="23">
        <f t="shared" si="1"/>
        <v>0</v>
      </c>
      <c r="K142" s="23">
        <f t="shared" si="2"/>
        <v>0</v>
      </c>
      <c r="L142" s="23">
        <f t="shared" si="3"/>
        <v>0</v>
      </c>
    </row>
    <row r="143" ht="15.75" customHeight="1">
      <c r="A143" s="12"/>
      <c r="B143" s="12"/>
      <c r="C143" s="22"/>
      <c r="D143" s="22"/>
      <c r="E143" s="12"/>
      <c r="F143" s="12"/>
      <c r="G143" s="12"/>
      <c r="H143" s="12">
        <v>1.0</v>
      </c>
      <c r="I143" s="22"/>
      <c r="J143" s="23">
        <f t="shared" si="1"/>
        <v>0</v>
      </c>
      <c r="K143" s="23">
        <f t="shared" si="2"/>
        <v>0</v>
      </c>
      <c r="L143" s="23">
        <f t="shared" si="3"/>
        <v>0</v>
      </c>
    </row>
    <row r="144" ht="15.75" customHeight="1">
      <c r="A144" s="12"/>
      <c r="B144" s="12"/>
      <c r="C144" s="22"/>
      <c r="D144" s="22"/>
      <c r="E144" s="12"/>
      <c r="F144" s="12"/>
      <c r="G144" s="12"/>
      <c r="H144" s="12">
        <v>1.0</v>
      </c>
      <c r="I144" s="22"/>
      <c r="J144" s="23">
        <f t="shared" si="1"/>
        <v>0</v>
      </c>
      <c r="K144" s="23">
        <f t="shared" si="2"/>
        <v>0</v>
      </c>
      <c r="L144" s="23">
        <f t="shared" si="3"/>
        <v>0</v>
      </c>
    </row>
    <row r="145" ht="15.75" customHeight="1">
      <c r="A145" s="12"/>
      <c r="B145" s="12"/>
      <c r="C145" s="22"/>
      <c r="D145" s="22"/>
      <c r="E145" s="12"/>
      <c r="F145" s="12"/>
      <c r="G145" s="12"/>
      <c r="H145" s="12">
        <v>1.0</v>
      </c>
      <c r="I145" s="22"/>
      <c r="J145" s="23">
        <f t="shared" si="1"/>
        <v>0</v>
      </c>
      <c r="K145" s="23">
        <f t="shared" si="2"/>
        <v>0</v>
      </c>
      <c r="L145" s="23">
        <f t="shared" si="3"/>
        <v>0</v>
      </c>
    </row>
    <row r="146" ht="15.75" customHeight="1">
      <c r="A146" s="12"/>
      <c r="B146" s="12"/>
      <c r="C146" s="22"/>
      <c r="D146" s="22"/>
      <c r="E146" s="12"/>
      <c r="F146" s="12"/>
      <c r="G146" s="12"/>
      <c r="H146" s="12">
        <v>1.0</v>
      </c>
      <c r="I146" s="22"/>
      <c r="J146" s="23">
        <f t="shared" si="1"/>
        <v>0</v>
      </c>
      <c r="K146" s="23">
        <f t="shared" si="2"/>
        <v>0</v>
      </c>
      <c r="L146" s="23">
        <f t="shared" si="3"/>
        <v>0</v>
      </c>
    </row>
    <row r="147" ht="15.75" customHeight="1">
      <c r="A147" s="12"/>
      <c r="B147" s="12"/>
      <c r="C147" s="22"/>
      <c r="D147" s="22"/>
      <c r="E147" s="12"/>
      <c r="F147" s="12"/>
      <c r="G147" s="12"/>
      <c r="H147" s="12">
        <v>1.0</v>
      </c>
      <c r="I147" s="22"/>
      <c r="J147" s="23">
        <f t="shared" si="1"/>
        <v>0</v>
      </c>
      <c r="K147" s="23">
        <f t="shared" si="2"/>
        <v>0</v>
      </c>
      <c r="L147" s="23">
        <f t="shared" si="3"/>
        <v>0</v>
      </c>
    </row>
    <row r="148" ht="15.75" customHeight="1">
      <c r="A148" s="12"/>
      <c r="B148" s="12"/>
      <c r="C148" s="22"/>
      <c r="D148" s="22"/>
      <c r="E148" s="12"/>
      <c r="F148" s="12"/>
      <c r="G148" s="12"/>
      <c r="H148" s="12">
        <v>1.0</v>
      </c>
      <c r="I148" s="22"/>
      <c r="J148" s="23">
        <f t="shared" si="1"/>
        <v>0</v>
      </c>
      <c r="K148" s="23">
        <f t="shared" si="2"/>
        <v>0</v>
      </c>
      <c r="L148" s="23">
        <f t="shared" si="3"/>
        <v>0</v>
      </c>
    </row>
    <row r="149" ht="15.75" customHeight="1">
      <c r="A149" s="12"/>
      <c r="B149" s="12"/>
      <c r="C149" s="22"/>
      <c r="D149" s="22"/>
      <c r="E149" s="12"/>
      <c r="F149" s="12"/>
      <c r="G149" s="12"/>
      <c r="H149" s="12">
        <v>1.0</v>
      </c>
      <c r="I149" s="22"/>
      <c r="J149" s="23">
        <f t="shared" si="1"/>
        <v>0</v>
      </c>
      <c r="K149" s="23">
        <f t="shared" si="2"/>
        <v>0</v>
      </c>
      <c r="L149" s="23">
        <f t="shared" si="3"/>
        <v>0</v>
      </c>
    </row>
    <row r="150" ht="15.75" customHeight="1">
      <c r="A150" s="12"/>
      <c r="B150" s="12"/>
      <c r="C150" s="22"/>
      <c r="D150" s="22"/>
      <c r="E150" s="12"/>
      <c r="F150" s="12"/>
      <c r="G150" s="12"/>
      <c r="H150" s="12">
        <v>1.0</v>
      </c>
      <c r="I150" s="22"/>
      <c r="J150" s="23">
        <f t="shared" si="1"/>
        <v>0</v>
      </c>
      <c r="K150" s="23">
        <f t="shared" si="2"/>
        <v>0</v>
      </c>
      <c r="L150" s="23">
        <f t="shared" si="3"/>
        <v>0</v>
      </c>
    </row>
    <row r="151" ht="15.75" customHeight="1">
      <c r="A151" s="12"/>
      <c r="B151" s="12"/>
      <c r="C151" s="22"/>
      <c r="D151" s="22"/>
      <c r="E151" s="12"/>
      <c r="F151" s="12"/>
      <c r="G151" s="12"/>
      <c r="H151" s="12">
        <v>1.0</v>
      </c>
      <c r="I151" s="22"/>
      <c r="J151" s="23">
        <f t="shared" si="1"/>
        <v>0</v>
      </c>
      <c r="K151" s="23">
        <f t="shared" si="2"/>
        <v>0</v>
      </c>
      <c r="L151" s="23">
        <f t="shared" si="3"/>
        <v>0</v>
      </c>
    </row>
    <row r="152" ht="15.75" customHeight="1">
      <c r="A152" s="12"/>
      <c r="B152" s="12"/>
      <c r="C152" s="22"/>
      <c r="D152" s="22"/>
      <c r="E152" s="12"/>
      <c r="F152" s="12"/>
      <c r="G152" s="12"/>
      <c r="H152" s="12">
        <v>1.0</v>
      </c>
      <c r="I152" s="22"/>
      <c r="J152" s="23">
        <f t="shared" si="1"/>
        <v>0</v>
      </c>
      <c r="K152" s="23">
        <f t="shared" si="2"/>
        <v>0</v>
      </c>
      <c r="L152" s="23">
        <f t="shared" si="3"/>
        <v>0</v>
      </c>
    </row>
    <row r="153" ht="15.75" customHeight="1">
      <c r="A153" s="12"/>
      <c r="B153" s="12"/>
      <c r="C153" s="22"/>
      <c r="D153" s="22"/>
      <c r="E153" s="12"/>
      <c r="F153" s="12"/>
      <c r="G153" s="12"/>
      <c r="H153" s="12">
        <v>1.0</v>
      </c>
      <c r="I153" s="22"/>
      <c r="J153" s="23">
        <f t="shared" si="1"/>
        <v>0</v>
      </c>
      <c r="K153" s="23">
        <f t="shared" si="2"/>
        <v>0</v>
      </c>
      <c r="L153" s="23">
        <f t="shared" si="3"/>
        <v>0</v>
      </c>
    </row>
    <row r="154" ht="15.75" customHeight="1">
      <c r="A154" s="12"/>
      <c r="B154" s="12"/>
      <c r="C154" s="22"/>
      <c r="D154" s="22"/>
      <c r="E154" s="12"/>
      <c r="F154" s="12"/>
      <c r="G154" s="12"/>
      <c r="H154" s="12">
        <v>1.0</v>
      </c>
      <c r="I154" s="22"/>
      <c r="J154" s="23">
        <f t="shared" si="1"/>
        <v>0</v>
      </c>
      <c r="K154" s="23">
        <f t="shared" si="2"/>
        <v>0</v>
      </c>
      <c r="L154" s="23">
        <f t="shared" si="3"/>
        <v>0</v>
      </c>
    </row>
    <row r="155" ht="15.75" customHeight="1">
      <c r="A155" s="12"/>
      <c r="B155" s="12"/>
      <c r="C155" s="22"/>
      <c r="D155" s="22"/>
      <c r="E155" s="12"/>
      <c r="F155" s="12"/>
      <c r="G155" s="12"/>
      <c r="H155" s="12">
        <v>1.0</v>
      </c>
      <c r="I155" s="22"/>
      <c r="J155" s="23">
        <f t="shared" si="1"/>
        <v>0</v>
      </c>
      <c r="K155" s="23">
        <f t="shared" si="2"/>
        <v>0</v>
      </c>
      <c r="L155" s="23">
        <f t="shared" si="3"/>
        <v>0</v>
      </c>
    </row>
    <row r="156" ht="15.75" customHeight="1">
      <c r="A156" s="12"/>
      <c r="B156" s="12"/>
      <c r="C156" s="22"/>
      <c r="D156" s="22"/>
      <c r="E156" s="12"/>
      <c r="F156" s="12"/>
      <c r="G156" s="12"/>
      <c r="H156" s="12">
        <v>1.0</v>
      </c>
      <c r="I156" s="22"/>
      <c r="J156" s="23">
        <f t="shared" si="1"/>
        <v>0</v>
      </c>
      <c r="K156" s="23">
        <f t="shared" si="2"/>
        <v>0</v>
      </c>
      <c r="L156" s="23">
        <f t="shared" si="3"/>
        <v>0</v>
      </c>
    </row>
    <row r="157" ht="15.75" customHeight="1">
      <c r="A157" s="12"/>
      <c r="B157" s="12"/>
      <c r="C157" s="22"/>
      <c r="D157" s="22"/>
      <c r="E157" s="12"/>
      <c r="F157" s="12"/>
      <c r="G157" s="12"/>
      <c r="H157" s="12">
        <v>1.0</v>
      </c>
      <c r="I157" s="22"/>
      <c r="J157" s="23">
        <f t="shared" si="1"/>
        <v>0</v>
      </c>
      <c r="K157" s="23">
        <f t="shared" si="2"/>
        <v>0</v>
      </c>
      <c r="L157" s="23">
        <f t="shared" si="3"/>
        <v>0</v>
      </c>
    </row>
    <row r="158" ht="15.75" customHeight="1">
      <c r="A158" s="12"/>
      <c r="B158" s="12"/>
      <c r="C158" s="22"/>
      <c r="D158" s="22"/>
      <c r="E158" s="12"/>
      <c r="F158" s="12"/>
      <c r="G158" s="12"/>
      <c r="H158" s="12">
        <v>1.0</v>
      </c>
      <c r="I158" s="22"/>
      <c r="J158" s="23">
        <f t="shared" si="1"/>
        <v>0</v>
      </c>
      <c r="K158" s="23">
        <f t="shared" si="2"/>
        <v>0</v>
      </c>
      <c r="L158" s="23">
        <f t="shared" si="3"/>
        <v>0</v>
      </c>
    </row>
    <row r="159" ht="15.75" customHeight="1">
      <c r="A159" s="12"/>
      <c r="B159" s="12"/>
      <c r="C159" s="22"/>
      <c r="D159" s="22"/>
      <c r="E159" s="12"/>
      <c r="F159" s="12"/>
      <c r="G159" s="12"/>
      <c r="H159" s="12">
        <v>1.0</v>
      </c>
      <c r="I159" s="22"/>
      <c r="J159" s="23">
        <f t="shared" si="1"/>
        <v>0</v>
      </c>
      <c r="K159" s="23">
        <f t="shared" si="2"/>
        <v>0</v>
      </c>
      <c r="L159" s="23">
        <f t="shared" si="3"/>
        <v>0</v>
      </c>
    </row>
    <row r="160" ht="15.75" customHeight="1">
      <c r="A160" s="12"/>
      <c r="B160" s="12"/>
      <c r="C160" s="22"/>
      <c r="D160" s="22"/>
      <c r="E160" s="12"/>
      <c r="F160" s="12"/>
      <c r="G160" s="12"/>
      <c r="H160" s="12">
        <v>1.0</v>
      </c>
      <c r="I160" s="22"/>
      <c r="J160" s="23">
        <f t="shared" si="1"/>
        <v>0</v>
      </c>
      <c r="K160" s="23">
        <f t="shared" si="2"/>
        <v>0</v>
      </c>
      <c r="L160" s="23">
        <f t="shared" si="3"/>
        <v>0</v>
      </c>
    </row>
    <row r="161" ht="15.75" customHeight="1">
      <c r="A161" s="12"/>
      <c r="B161" s="12"/>
      <c r="C161" s="22"/>
      <c r="D161" s="22"/>
      <c r="E161" s="12"/>
      <c r="F161" s="12"/>
      <c r="G161" s="12"/>
      <c r="H161" s="12">
        <v>1.0</v>
      </c>
      <c r="I161" s="22"/>
      <c r="J161" s="23">
        <f t="shared" si="1"/>
        <v>0</v>
      </c>
      <c r="K161" s="23">
        <f t="shared" si="2"/>
        <v>0</v>
      </c>
      <c r="L161" s="23">
        <f t="shared" si="3"/>
        <v>0</v>
      </c>
    </row>
    <row r="162" ht="15.75" customHeight="1">
      <c r="A162" s="12"/>
      <c r="B162" s="12"/>
      <c r="C162" s="22"/>
      <c r="D162" s="22"/>
      <c r="E162" s="12"/>
      <c r="F162" s="12"/>
      <c r="G162" s="12"/>
      <c r="H162" s="12">
        <v>1.0</v>
      </c>
      <c r="I162" s="22"/>
      <c r="J162" s="23">
        <f t="shared" si="1"/>
        <v>0</v>
      </c>
      <c r="K162" s="23">
        <f t="shared" si="2"/>
        <v>0</v>
      </c>
      <c r="L162" s="23">
        <f t="shared" si="3"/>
        <v>0</v>
      </c>
    </row>
    <row r="163" ht="15.75" customHeight="1">
      <c r="A163" s="12"/>
      <c r="B163" s="12"/>
      <c r="C163" s="22"/>
      <c r="D163" s="22"/>
      <c r="E163" s="12"/>
      <c r="F163" s="12"/>
      <c r="G163" s="12"/>
      <c r="H163" s="12">
        <v>1.0</v>
      </c>
      <c r="I163" s="22"/>
      <c r="J163" s="23">
        <f t="shared" si="1"/>
        <v>0</v>
      </c>
      <c r="K163" s="23">
        <f t="shared" si="2"/>
        <v>0</v>
      </c>
      <c r="L163" s="23">
        <f t="shared" si="3"/>
        <v>0</v>
      </c>
    </row>
    <row r="164" ht="15.75" customHeight="1">
      <c r="A164" s="12"/>
      <c r="B164" s="12"/>
      <c r="C164" s="22"/>
      <c r="D164" s="22"/>
      <c r="E164" s="12"/>
      <c r="F164" s="12"/>
      <c r="G164" s="12"/>
      <c r="H164" s="12">
        <v>1.0</v>
      </c>
      <c r="I164" s="22"/>
      <c r="J164" s="23">
        <f t="shared" si="1"/>
        <v>0</v>
      </c>
      <c r="K164" s="23">
        <f t="shared" si="2"/>
        <v>0</v>
      </c>
      <c r="L164" s="23">
        <f t="shared" si="3"/>
        <v>0</v>
      </c>
    </row>
    <row r="165" ht="15.75" customHeight="1">
      <c r="A165" s="12"/>
      <c r="B165" s="12"/>
      <c r="C165" s="22"/>
      <c r="D165" s="22"/>
      <c r="E165" s="12"/>
      <c r="F165" s="12"/>
      <c r="G165" s="12"/>
      <c r="H165" s="12">
        <v>1.0</v>
      </c>
      <c r="I165" s="22"/>
      <c r="J165" s="23">
        <f t="shared" si="1"/>
        <v>0</v>
      </c>
      <c r="K165" s="23">
        <f t="shared" si="2"/>
        <v>0</v>
      </c>
      <c r="L165" s="23">
        <f t="shared" si="3"/>
        <v>0</v>
      </c>
    </row>
    <row r="166" ht="15.75" customHeight="1">
      <c r="A166" s="12"/>
      <c r="B166" s="12"/>
      <c r="C166" s="22"/>
      <c r="D166" s="22"/>
      <c r="E166" s="12"/>
      <c r="F166" s="12"/>
      <c r="G166" s="12"/>
      <c r="H166" s="12">
        <v>1.0</v>
      </c>
      <c r="I166" s="22"/>
      <c r="J166" s="23">
        <f t="shared" si="1"/>
        <v>0</v>
      </c>
      <c r="K166" s="23">
        <f t="shared" si="2"/>
        <v>0</v>
      </c>
      <c r="L166" s="23">
        <f t="shared" si="3"/>
        <v>0</v>
      </c>
    </row>
    <row r="167" ht="15.75" customHeight="1">
      <c r="A167" s="12"/>
      <c r="B167" s="12"/>
      <c r="C167" s="22"/>
      <c r="D167" s="22"/>
      <c r="E167" s="12"/>
      <c r="F167" s="12"/>
      <c r="G167" s="12"/>
      <c r="H167" s="12">
        <v>1.0</v>
      </c>
      <c r="I167" s="22"/>
      <c r="J167" s="23">
        <f t="shared" si="1"/>
        <v>0</v>
      </c>
      <c r="K167" s="23">
        <f t="shared" si="2"/>
        <v>0</v>
      </c>
      <c r="L167" s="23">
        <f t="shared" si="3"/>
        <v>0</v>
      </c>
    </row>
    <row r="168" ht="15.75" customHeight="1">
      <c r="A168" s="12"/>
      <c r="B168" s="12"/>
      <c r="C168" s="22"/>
      <c r="D168" s="22"/>
      <c r="E168" s="12"/>
      <c r="F168" s="12"/>
      <c r="G168" s="12"/>
      <c r="H168" s="12">
        <v>1.0</v>
      </c>
      <c r="I168" s="22"/>
      <c r="J168" s="23">
        <f t="shared" si="1"/>
        <v>0</v>
      </c>
      <c r="K168" s="23">
        <f t="shared" si="2"/>
        <v>0</v>
      </c>
      <c r="L168" s="23">
        <f t="shared" si="3"/>
        <v>0</v>
      </c>
    </row>
    <row r="169" ht="15.75" customHeight="1">
      <c r="A169" s="12"/>
      <c r="B169" s="12"/>
      <c r="C169" s="22"/>
      <c r="D169" s="22"/>
      <c r="E169" s="12"/>
      <c r="F169" s="12"/>
      <c r="G169" s="12"/>
      <c r="H169" s="12">
        <v>1.0</v>
      </c>
      <c r="I169" s="22"/>
      <c r="J169" s="23">
        <f t="shared" si="1"/>
        <v>0</v>
      </c>
      <c r="K169" s="23">
        <f t="shared" si="2"/>
        <v>0</v>
      </c>
      <c r="L169" s="23">
        <f t="shared" si="3"/>
        <v>0</v>
      </c>
    </row>
    <row r="170" ht="15.75" customHeight="1">
      <c r="A170" s="12"/>
      <c r="B170" s="12"/>
      <c r="C170" s="22"/>
      <c r="D170" s="22"/>
      <c r="E170" s="12"/>
      <c r="F170" s="12"/>
      <c r="G170" s="12"/>
      <c r="H170" s="12">
        <v>1.0</v>
      </c>
      <c r="I170" s="22"/>
      <c r="J170" s="23">
        <f t="shared" si="1"/>
        <v>0</v>
      </c>
      <c r="K170" s="23">
        <f t="shared" si="2"/>
        <v>0</v>
      </c>
      <c r="L170" s="23">
        <f t="shared" si="3"/>
        <v>0</v>
      </c>
    </row>
    <row r="171" ht="15.75" customHeight="1">
      <c r="A171" s="12"/>
      <c r="B171" s="12"/>
      <c r="C171" s="22"/>
      <c r="D171" s="22"/>
      <c r="E171" s="12"/>
      <c r="F171" s="12"/>
      <c r="G171" s="12"/>
      <c r="H171" s="12">
        <v>1.0</v>
      </c>
      <c r="I171" s="22"/>
      <c r="J171" s="23">
        <f t="shared" si="1"/>
        <v>0</v>
      </c>
      <c r="K171" s="23">
        <f t="shared" si="2"/>
        <v>0</v>
      </c>
      <c r="L171" s="23">
        <f t="shared" si="3"/>
        <v>0</v>
      </c>
    </row>
    <row r="172" ht="15.75" customHeight="1">
      <c r="A172" s="12"/>
      <c r="B172" s="12"/>
      <c r="C172" s="22"/>
      <c r="D172" s="22"/>
      <c r="E172" s="12"/>
      <c r="F172" s="12"/>
      <c r="G172" s="12"/>
      <c r="H172" s="12">
        <v>1.0</v>
      </c>
      <c r="I172" s="22"/>
      <c r="J172" s="23">
        <f t="shared" si="1"/>
        <v>0</v>
      </c>
      <c r="K172" s="23">
        <f t="shared" si="2"/>
        <v>0</v>
      </c>
      <c r="L172" s="23">
        <f t="shared" si="3"/>
        <v>0</v>
      </c>
    </row>
    <row r="173" ht="15.75" customHeight="1">
      <c r="A173" s="12"/>
      <c r="B173" s="12"/>
      <c r="C173" s="22"/>
      <c r="D173" s="22"/>
      <c r="E173" s="12"/>
      <c r="F173" s="12"/>
      <c r="G173" s="12"/>
      <c r="H173" s="12">
        <v>1.0</v>
      </c>
      <c r="I173" s="22"/>
      <c r="J173" s="23">
        <f t="shared" si="1"/>
        <v>0</v>
      </c>
      <c r="K173" s="23">
        <f t="shared" si="2"/>
        <v>0</v>
      </c>
      <c r="L173" s="23">
        <f t="shared" si="3"/>
        <v>0</v>
      </c>
    </row>
    <row r="174" ht="15.75" customHeight="1">
      <c r="A174" s="12"/>
      <c r="B174" s="12"/>
      <c r="C174" s="22"/>
      <c r="D174" s="22"/>
      <c r="E174" s="12"/>
      <c r="F174" s="12"/>
      <c r="G174" s="12"/>
      <c r="H174" s="12">
        <v>1.0</v>
      </c>
      <c r="I174" s="22"/>
      <c r="J174" s="23">
        <f t="shared" si="1"/>
        <v>0</v>
      </c>
      <c r="K174" s="23">
        <f t="shared" si="2"/>
        <v>0</v>
      </c>
      <c r="L174" s="23">
        <f t="shared" si="3"/>
        <v>0</v>
      </c>
    </row>
    <row r="175" ht="15.75" customHeight="1">
      <c r="A175" s="12"/>
      <c r="B175" s="12"/>
      <c r="C175" s="22"/>
      <c r="D175" s="22"/>
      <c r="E175" s="12"/>
      <c r="F175" s="12"/>
      <c r="G175" s="12"/>
      <c r="H175" s="12">
        <v>1.0</v>
      </c>
      <c r="I175" s="22"/>
      <c r="J175" s="23">
        <f t="shared" si="1"/>
        <v>0</v>
      </c>
      <c r="K175" s="23">
        <f t="shared" si="2"/>
        <v>0</v>
      </c>
      <c r="L175" s="23">
        <f t="shared" si="3"/>
        <v>0</v>
      </c>
    </row>
    <row r="176" ht="15.75" customHeight="1">
      <c r="A176" s="12"/>
      <c r="B176" s="12"/>
      <c r="C176" s="22"/>
      <c r="D176" s="22"/>
      <c r="E176" s="12"/>
      <c r="F176" s="12"/>
      <c r="G176" s="12"/>
      <c r="H176" s="12">
        <v>1.0</v>
      </c>
      <c r="I176" s="22"/>
      <c r="J176" s="23">
        <f t="shared" si="1"/>
        <v>0</v>
      </c>
      <c r="K176" s="23">
        <f t="shared" si="2"/>
        <v>0</v>
      </c>
      <c r="L176" s="23">
        <f t="shared" si="3"/>
        <v>0</v>
      </c>
    </row>
    <row r="177" ht="15.75" customHeight="1">
      <c r="A177" s="12"/>
      <c r="B177" s="12"/>
      <c r="C177" s="22"/>
      <c r="D177" s="22"/>
      <c r="E177" s="12"/>
      <c r="F177" s="12"/>
      <c r="G177" s="12"/>
      <c r="H177" s="12">
        <v>1.0</v>
      </c>
      <c r="I177" s="22"/>
      <c r="J177" s="23">
        <f t="shared" si="1"/>
        <v>0</v>
      </c>
      <c r="K177" s="23">
        <f t="shared" si="2"/>
        <v>0</v>
      </c>
      <c r="L177" s="23">
        <f t="shared" si="3"/>
        <v>0</v>
      </c>
    </row>
    <row r="178" ht="15.75" customHeight="1">
      <c r="A178" s="12"/>
      <c r="B178" s="12"/>
      <c r="C178" s="22"/>
      <c r="D178" s="22"/>
      <c r="E178" s="12"/>
      <c r="F178" s="12"/>
      <c r="G178" s="12"/>
      <c r="H178" s="12">
        <v>1.0</v>
      </c>
      <c r="I178" s="22"/>
      <c r="J178" s="23">
        <f t="shared" si="1"/>
        <v>0</v>
      </c>
      <c r="K178" s="23">
        <f t="shared" si="2"/>
        <v>0</v>
      </c>
      <c r="L178" s="23">
        <f t="shared" si="3"/>
        <v>0</v>
      </c>
    </row>
    <row r="179" ht="15.75" customHeight="1">
      <c r="A179" s="12"/>
      <c r="B179" s="12"/>
      <c r="C179" s="22"/>
      <c r="D179" s="22"/>
      <c r="E179" s="12"/>
      <c r="F179" s="12"/>
      <c r="G179" s="12"/>
      <c r="H179" s="12">
        <v>1.0</v>
      </c>
      <c r="I179" s="22"/>
      <c r="J179" s="23">
        <f t="shared" si="1"/>
        <v>0</v>
      </c>
      <c r="K179" s="23">
        <f t="shared" si="2"/>
        <v>0</v>
      </c>
      <c r="L179" s="23">
        <f t="shared" si="3"/>
        <v>0</v>
      </c>
    </row>
    <row r="180" ht="15.75" customHeight="1">
      <c r="A180" s="12"/>
      <c r="B180" s="12"/>
      <c r="C180" s="22"/>
      <c r="D180" s="22"/>
      <c r="E180" s="12"/>
      <c r="F180" s="12"/>
      <c r="G180" s="12"/>
      <c r="H180" s="12">
        <v>1.0</v>
      </c>
      <c r="I180" s="22"/>
      <c r="J180" s="23">
        <f t="shared" si="1"/>
        <v>0</v>
      </c>
      <c r="K180" s="23">
        <f t="shared" si="2"/>
        <v>0</v>
      </c>
      <c r="L180" s="23">
        <f t="shared" si="3"/>
        <v>0</v>
      </c>
    </row>
    <row r="181" ht="15.75" customHeight="1">
      <c r="A181" s="12"/>
      <c r="B181" s="12"/>
      <c r="C181" s="22"/>
      <c r="D181" s="22"/>
      <c r="E181" s="12"/>
      <c r="F181" s="12"/>
      <c r="G181" s="12"/>
      <c r="H181" s="12">
        <v>1.0</v>
      </c>
      <c r="I181" s="22"/>
      <c r="J181" s="23">
        <f t="shared" si="1"/>
        <v>0</v>
      </c>
      <c r="K181" s="23">
        <f t="shared" si="2"/>
        <v>0</v>
      </c>
      <c r="L181" s="23">
        <f t="shared" si="3"/>
        <v>0</v>
      </c>
    </row>
    <row r="182" ht="15.75" customHeight="1">
      <c r="A182" s="12"/>
      <c r="B182" s="12"/>
      <c r="C182" s="22"/>
      <c r="D182" s="22"/>
      <c r="E182" s="12"/>
      <c r="F182" s="12"/>
      <c r="G182" s="12"/>
      <c r="H182" s="12">
        <v>1.0</v>
      </c>
      <c r="I182" s="22"/>
      <c r="J182" s="23">
        <f t="shared" si="1"/>
        <v>0</v>
      </c>
      <c r="K182" s="23">
        <f t="shared" si="2"/>
        <v>0</v>
      </c>
      <c r="L182" s="23">
        <f t="shared" si="3"/>
        <v>0</v>
      </c>
    </row>
    <row r="183" ht="15.75" customHeight="1">
      <c r="A183" s="12"/>
      <c r="B183" s="12"/>
      <c r="C183" s="22"/>
      <c r="D183" s="22"/>
      <c r="E183" s="12"/>
      <c r="F183" s="12"/>
      <c r="G183" s="12"/>
      <c r="H183" s="12">
        <v>1.0</v>
      </c>
      <c r="I183" s="22"/>
      <c r="J183" s="23">
        <f t="shared" si="1"/>
        <v>0</v>
      </c>
      <c r="K183" s="23">
        <f t="shared" si="2"/>
        <v>0</v>
      </c>
      <c r="L183" s="23">
        <f t="shared" si="3"/>
        <v>0</v>
      </c>
    </row>
    <row r="184" ht="15.75" customHeight="1">
      <c r="A184" s="12"/>
      <c r="B184" s="12"/>
      <c r="C184" s="22"/>
      <c r="D184" s="22"/>
      <c r="E184" s="12"/>
      <c r="F184" s="12"/>
      <c r="G184" s="12"/>
      <c r="H184" s="12">
        <v>1.0</v>
      </c>
      <c r="I184" s="22"/>
      <c r="J184" s="23">
        <f t="shared" si="1"/>
        <v>0</v>
      </c>
      <c r="K184" s="23">
        <f t="shared" si="2"/>
        <v>0</v>
      </c>
      <c r="L184" s="23">
        <f t="shared" si="3"/>
        <v>0</v>
      </c>
    </row>
    <row r="185" ht="15.75" customHeight="1">
      <c r="A185" s="12"/>
      <c r="B185" s="12"/>
      <c r="C185" s="22"/>
      <c r="D185" s="22"/>
      <c r="E185" s="12"/>
      <c r="F185" s="12"/>
      <c r="G185" s="12"/>
      <c r="H185" s="12">
        <v>1.0</v>
      </c>
      <c r="I185" s="22"/>
      <c r="J185" s="23">
        <f t="shared" si="1"/>
        <v>0</v>
      </c>
      <c r="K185" s="23">
        <f t="shared" si="2"/>
        <v>0</v>
      </c>
      <c r="L185" s="23">
        <f t="shared" si="3"/>
        <v>0</v>
      </c>
    </row>
    <row r="186" ht="15.75" customHeight="1">
      <c r="A186" s="12"/>
      <c r="B186" s="12"/>
      <c r="C186" s="22"/>
      <c r="D186" s="22"/>
      <c r="E186" s="12"/>
      <c r="F186" s="12"/>
      <c r="G186" s="12"/>
      <c r="H186" s="12">
        <v>1.0</v>
      </c>
      <c r="I186" s="22"/>
      <c r="J186" s="23">
        <f t="shared" si="1"/>
        <v>0</v>
      </c>
      <c r="K186" s="23">
        <f t="shared" si="2"/>
        <v>0</v>
      </c>
      <c r="L186" s="23">
        <f t="shared" si="3"/>
        <v>0</v>
      </c>
    </row>
    <row r="187" ht="15.75" customHeight="1">
      <c r="A187" s="12"/>
      <c r="B187" s="12"/>
      <c r="C187" s="22"/>
      <c r="D187" s="22"/>
      <c r="E187" s="12"/>
      <c r="F187" s="12"/>
      <c r="G187" s="12"/>
      <c r="H187" s="12">
        <v>1.0</v>
      </c>
      <c r="I187" s="22"/>
      <c r="J187" s="23">
        <f t="shared" si="1"/>
        <v>0</v>
      </c>
      <c r="K187" s="23">
        <f t="shared" si="2"/>
        <v>0</v>
      </c>
      <c r="L187" s="23">
        <f t="shared" si="3"/>
        <v>0</v>
      </c>
    </row>
    <row r="188" ht="15.75" customHeight="1">
      <c r="A188" s="12"/>
      <c r="B188" s="12"/>
      <c r="C188" s="22"/>
      <c r="D188" s="22"/>
      <c r="E188" s="12"/>
      <c r="F188" s="12"/>
      <c r="G188" s="12"/>
      <c r="H188" s="12">
        <v>1.0</v>
      </c>
      <c r="I188" s="22"/>
      <c r="J188" s="23">
        <f t="shared" si="1"/>
        <v>0</v>
      </c>
      <c r="K188" s="23">
        <f t="shared" si="2"/>
        <v>0</v>
      </c>
      <c r="L188" s="23">
        <f t="shared" si="3"/>
        <v>0</v>
      </c>
    </row>
    <row r="189" ht="15.75" customHeight="1">
      <c r="A189" s="12"/>
      <c r="B189" s="12"/>
      <c r="C189" s="22"/>
      <c r="D189" s="22"/>
      <c r="E189" s="12"/>
      <c r="F189" s="12"/>
      <c r="G189" s="12"/>
      <c r="H189" s="12">
        <v>1.0</v>
      </c>
      <c r="I189" s="22"/>
      <c r="J189" s="23">
        <f t="shared" si="1"/>
        <v>0</v>
      </c>
      <c r="K189" s="23">
        <f t="shared" si="2"/>
        <v>0</v>
      </c>
      <c r="L189" s="23">
        <f t="shared" si="3"/>
        <v>0</v>
      </c>
    </row>
    <row r="190" ht="15.75" customHeight="1">
      <c r="A190" s="12"/>
      <c r="B190" s="12"/>
      <c r="C190" s="22"/>
      <c r="D190" s="22"/>
      <c r="E190" s="12"/>
      <c r="F190" s="12"/>
      <c r="G190" s="12"/>
      <c r="H190" s="12">
        <v>1.0</v>
      </c>
      <c r="I190" s="22"/>
      <c r="J190" s="23">
        <f t="shared" si="1"/>
        <v>0</v>
      </c>
      <c r="K190" s="23">
        <f t="shared" si="2"/>
        <v>0</v>
      </c>
      <c r="L190" s="23">
        <f t="shared" si="3"/>
        <v>0</v>
      </c>
    </row>
    <row r="191" ht="15.75" customHeight="1">
      <c r="A191" s="12"/>
      <c r="B191" s="12"/>
      <c r="C191" s="22"/>
      <c r="D191" s="22"/>
      <c r="E191" s="12"/>
      <c r="F191" s="12"/>
      <c r="G191" s="12"/>
      <c r="H191" s="12">
        <v>1.0</v>
      </c>
      <c r="I191" s="22"/>
      <c r="J191" s="23">
        <f t="shared" si="1"/>
        <v>0</v>
      </c>
      <c r="K191" s="23">
        <f t="shared" si="2"/>
        <v>0</v>
      </c>
      <c r="L191" s="23">
        <f t="shared" si="3"/>
        <v>0</v>
      </c>
    </row>
    <row r="192" ht="15.75" customHeight="1">
      <c r="A192" s="12"/>
      <c r="B192" s="12"/>
      <c r="C192" s="22"/>
      <c r="D192" s="22"/>
      <c r="E192" s="12"/>
      <c r="F192" s="12"/>
      <c r="G192" s="12"/>
      <c r="H192" s="12">
        <v>1.0</v>
      </c>
      <c r="I192" s="22"/>
      <c r="J192" s="23">
        <f t="shared" si="1"/>
        <v>0</v>
      </c>
      <c r="K192" s="23">
        <f t="shared" si="2"/>
        <v>0</v>
      </c>
      <c r="L192" s="23">
        <f t="shared" si="3"/>
        <v>0</v>
      </c>
    </row>
    <row r="193" ht="15.75" customHeight="1">
      <c r="A193" s="12"/>
      <c r="B193" s="12"/>
      <c r="C193" s="22"/>
      <c r="D193" s="22"/>
      <c r="E193" s="12"/>
      <c r="F193" s="12"/>
      <c r="G193" s="12"/>
      <c r="H193" s="12">
        <v>1.0</v>
      </c>
      <c r="I193" s="22"/>
      <c r="J193" s="23">
        <f t="shared" si="1"/>
        <v>0</v>
      </c>
      <c r="K193" s="23">
        <f t="shared" si="2"/>
        <v>0</v>
      </c>
      <c r="L193" s="23">
        <f t="shared" si="3"/>
        <v>0</v>
      </c>
    </row>
    <row r="194" ht="15.75" customHeight="1">
      <c r="A194" s="12"/>
      <c r="B194" s="12"/>
      <c r="C194" s="22"/>
      <c r="D194" s="22"/>
      <c r="E194" s="12"/>
      <c r="F194" s="12"/>
      <c r="G194" s="12"/>
      <c r="H194" s="12">
        <v>1.0</v>
      </c>
      <c r="I194" s="22"/>
      <c r="J194" s="23">
        <f t="shared" si="1"/>
        <v>0</v>
      </c>
      <c r="K194" s="23">
        <f t="shared" si="2"/>
        <v>0</v>
      </c>
      <c r="L194" s="23">
        <f t="shared" si="3"/>
        <v>0</v>
      </c>
    </row>
    <row r="195" ht="15.75" customHeight="1">
      <c r="A195" s="12"/>
      <c r="B195" s="12"/>
      <c r="C195" s="22"/>
      <c r="D195" s="22"/>
      <c r="E195" s="12"/>
      <c r="F195" s="12"/>
      <c r="G195" s="12"/>
      <c r="H195" s="12">
        <v>1.0</v>
      </c>
      <c r="I195" s="22"/>
      <c r="J195" s="23">
        <f t="shared" si="1"/>
        <v>0</v>
      </c>
      <c r="K195" s="23">
        <f t="shared" si="2"/>
        <v>0</v>
      </c>
      <c r="L195" s="23">
        <f t="shared" si="3"/>
        <v>0</v>
      </c>
    </row>
    <row r="196" ht="15.75" customHeight="1">
      <c r="A196" s="12"/>
      <c r="B196" s="12"/>
      <c r="C196" s="22"/>
      <c r="D196" s="22"/>
      <c r="E196" s="12"/>
      <c r="F196" s="12"/>
      <c r="G196" s="12"/>
      <c r="H196" s="12">
        <v>1.0</v>
      </c>
      <c r="I196" s="22"/>
      <c r="J196" s="23">
        <f t="shared" si="1"/>
        <v>0</v>
      </c>
      <c r="K196" s="23">
        <f t="shared" si="2"/>
        <v>0</v>
      </c>
      <c r="L196" s="23">
        <f t="shared" si="3"/>
        <v>0</v>
      </c>
    </row>
    <row r="197" ht="15.75" customHeight="1">
      <c r="A197" s="12"/>
      <c r="B197" s="12"/>
      <c r="C197" s="22"/>
      <c r="D197" s="22"/>
      <c r="E197" s="12"/>
      <c r="F197" s="12"/>
      <c r="G197" s="12"/>
      <c r="H197" s="12">
        <v>1.0</v>
      </c>
      <c r="I197" s="22"/>
      <c r="J197" s="23">
        <f t="shared" si="1"/>
        <v>0</v>
      </c>
      <c r="K197" s="23">
        <f t="shared" si="2"/>
        <v>0</v>
      </c>
      <c r="L197" s="23">
        <f t="shared" si="3"/>
        <v>0</v>
      </c>
    </row>
    <row r="198" ht="15.75" customHeight="1">
      <c r="A198" s="12"/>
      <c r="B198" s="12"/>
      <c r="C198" s="22"/>
      <c r="D198" s="22"/>
      <c r="E198" s="12"/>
      <c r="F198" s="12"/>
      <c r="G198" s="12"/>
      <c r="H198" s="12">
        <v>1.0</v>
      </c>
      <c r="I198" s="22"/>
      <c r="J198" s="23">
        <f t="shared" si="1"/>
        <v>0</v>
      </c>
      <c r="K198" s="23">
        <f t="shared" si="2"/>
        <v>0</v>
      </c>
      <c r="L198" s="23">
        <f t="shared" si="3"/>
        <v>0</v>
      </c>
    </row>
    <row r="199" ht="15.75" customHeight="1">
      <c r="A199" s="12"/>
      <c r="B199" s="12"/>
      <c r="C199" s="22"/>
      <c r="D199" s="22"/>
      <c r="E199" s="12"/>
      <c r="F199" s="12"/>
      <c r="G199" s="12"/>
      <c r="H199" s="12">
        <v>1.0</v>
      </c>
      <c r="I199" s="22"/>
      <c r="J199" s="23">
        <f t="shared" si="1"/>
        <v>0</v>
      </c>
      <c r="K199" s="23">
        <f t="shared" si="2"/>
        <v>0</v>
      </c>
      <c r="L199" s="23">
        <f t="shared" si="3"/>
        <v>0</v>
      </c>
    </row>
    <row r="200" ht="15.75" customHeight="1">
      <c r="A200" s="12"/>
      <c r="B200" s="12"/>
      <c r="C200" s="22"/>
      <c r="D200" s="22"/>
      <c r="E200" s="12"/>
      <c r="F200" s="12"/>
      <c r="G200" s="12"/>
      <c r="H200" s="12">
        <v>1.0</v>
      </c>
      <c r="I200" s="22"/>
      <c r="J200" s="23">
        <f t="shared" si="1"/>
        <v>0</v>
      </c>
      <c r="K200" s="23">
        <f t="shared" si="2"/>
        <v>0</v>
      </c>
      <c r="L200" s="23">
        <f t="shared" si="3"/>
        <v>0</v>
      </c>
    </row>
    <row r="201" ht="15.75" customHeight="1">
      <c r="A201" s="12"/>
      <c r="B201" s="12"/>
      <c r="C201" s="22"/>
      <c r="D201" s="22"/>
      <c r="E201" s="12"/>
      <c r="F201" s="12"/>
      <c r="G201" s="12"/>
      <c r="H201" s="12">
        <v>1.0</v>
      </c>
      <c r="I201" s="22"/>
      <c r="J201" s="23">
        <f t="shared" si="1"/>
        <v>0</v>
      </c>
      <c r="K201" s="23">
        <f t="shared" si="2"/>
        <v>0</v>
      </c>
      <c r="L201" s="23">
        <f t="shared" si="3"/>
        <v>0</v>
      </c>
    </row>
    <row r="202" ht="15.75" customHeight="1">
      <c r="A202" s="12"/>
      <c r="B202" s="12"/>
      <c r="C202" s="22"/>
      <c r="D202" s="22"/>
      <c r="E202" s="12"/>
      <c r="F202" s="12"/>
      <c r="G202" s="12"/>
      <c r="H202" s="12">
        <v>1.0</v>
      </c>
      <c r="I202" s="22"/>
      <c r="J202" s="23">
        <f t="shared" si="1"/>
        <v>0</v>
      </c>
      <c r="K202" s="23">
        <f t="shared" si="2"/>
        <v>0</v>
      </c>
      <c r="L202" s="23">
        <f t="shared" si="3"/>
        <v>0</v>
      </c>
    </row>
    <row r="203" ht="15.75" customHeight="1">
      <c r="A203" s="12"/>
      <c r="B203" s="12"/>
      <c r="C203" s="22"/>
      <c r="D203" s="22"/>
      <c r="E203" s="12"/>
      <c r="F203" s="12"/>
      <c r="G203" s="12"/>
      <c r="H203" s="12">
        <v>1.0</v>
      </c>
      <c r="I203" s="22"/>
      <c r="J203" s="23">
        <f t="shared" si="1"/>
        <v>0</v>
      </c>
      <c r="K203" s="23">
        <f t="shared" si="2"/>
        <v>0</v>
      </c>
      <c r="L203" s="23">
        <f t="shared" si="3"/>
        <v>0</v>
      </c>
    </row>
    <row r="204" ht="15.75" customHeight="1">
      <c r="A204" s="12"/>
      <c r="B204" s="12"/>
      <c r="C204" s="22"/>
      <c r="D204" s="22"/>
      <c r="E204" s="12"/>
      <c r="F204" s="12"/>
      <c r="G204" s="12"/>
      <c r="H204" s="12">
        <v>1.0</v>
      </c>
      <c r="I204" s="22"/>
      <c r="J204" s="23">
        <f t="shared" si="1"/>
        <v>0</v>
      </c>
      <c r="K204" s="23">
        <f t="shared" si="2"/>
        <v>0</v>
      </c>
      <c r="L204" s="23">
        <f t="shared" si="3"/>
        <v>0</v>
      </c>
    </row>
    <row r="205" ht="15.75" customHeight="1">
      <c r="A205" s="12"/>
      <c r="B205" s="12"/>
      <c r="C205" s="22"/>
      <c r="D205" s="22"/>
      <c r="E205" s="12"/>
      <c r="F205" s="12"/>
      <c r="G205" s="12"/>
      <c r="H205" s="12">
        <v>1.0</v>
      </c>
      <c r="I205" s="22"/>
      <c r="J205" s="23">
        <f t="shared" si="1"/>
        <v>0</v>
      </c>
      <c r="K205" s="23">
        <f t="shared" si="2"/>
        <v>0</v>
      </c>
      <c r="L205" s="23">
        <f t="shared" si="3"/>
        <v>0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D6:D205">
      <formula1>"Channel 1,Channel 2,Channel 3,Personal,DayJob,N/A"</formula1>
    </dataValidation>
    <dataValidation type="list" allowBlank="1" sqref="H6:H205">
      <formula1>"1,1.5,2,2.5"</formula1>
    </dataValidation>
    <dataValidation type="list" allowBlank="1" sqref="F6:F205">
      <formula1>"Yes,Half,No,N/A"</formula1>
    </dataValidation>
    <dataValidation type="list" allowBlank="1" sqref="G6:G205">
      <formula1>"Physical,Mental,Spiritual,N/A"</formula1>
    </dataValidation>
    <dataValidation type="list" allowBlank="1" sqref="C6:C205">
      <formula1>"Dig Block,Extracurricular,Gain Action,Day Job,Boost Activation"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2.0"/>
    <col customWidth="1" min="4" max="4" width="52.0"/>
    <col customWidth="1" min="5" max="5" width="30.0"/>
    <col customWidth="1" min="6" max="6" width="38.0"/>
    <col customWidth="1" min="7" max="26" width="8.71"/>
  </cols>
  <sheetData>
    <row r="1">
      <c r="A1" s="1" t="s">
        <v>79</v>
      </c>
    </row>
    <row r="2" ht="27.75" customHeight="1">
      <c r="A2" s="2" t="s">
        <v>80</v>
      </c>
    </row>
    <row r="4" ht="27.75" customHeight="1">
      <c r="A4" s="19" t="s">
        <v>61</v>
      </c>
      <c r="B4" s="19" t="s">
        <v>39</v>
      </c>
      <c r="C4" s="19" t="s">
        <v>81</v>
      </c>
      <c r="D4" s="19" t="s">
        <v>82</v>
      </c>
      <c r="E4" s="19" t="s">
        <v>83</v>
      </c>
      <c r="F4" s="19" t="s">
        <v>68</v>
      </c>
    </row>
    <row r="5">
      <c r="A5" s="12"/>
      <c r="B5" s="12"/>
      <c r="C5" s="12"/>
      <c r="D5" s="22"/>
      <c r="E5" s="22"/>
      <c r="F5" s="22"/>
    </row>
    <row r="6">
      <c r="A6" s="12"/>
      <c r="B6" s="12"/>
      <c r="C6" s="12"/>
      <c r="D6" s="22"/>
      <c r="E6" s="22"/>
      <c r="F6" s="22"/>
    </row>
    <row r="7">
      <c r="A7" s="12"/>
      <c r="B7" s="12"/>
      <c r="C7" s="12"/>
      <c r="D7" s="22"/>
      <c r="E7" s="22"/>
      <c r="F7" s="22"/>
    </row>
    <row r="8">
      <c r="A8" s="12"/>
      <c r="B8" s="12"/>
      <c r="C8" s="12"/>
      <c r="D8" s="22"/>
      <c r="E8" s="22"/>
      <c r="F8" s="22"/>
    </row>
    <row r="9">
      <c r="A9" s="12"/>
      <c r="B9" s="12"/>
      <c r="C9" s="12"/>
      <c r="D9" s="22"/>
      <c r="E9" s="22"/>
      <c r="F9" s="22"/>
    </row>
    <row r="10">
      <c r="A10" s="12"/>
      <c r="B10" s="12"/>
      <c r="C10" s="12"/>
      <c r="D10" s="22"/>
      <c r="E10" s="22"/>
      <c r="F10" s="22"/>
    </row>
    <row r="11">
      <c r="A11" s="12"/>
      <c r="B11" s="12"/>
      <c r="C11" s="12"/>
      <c r="D11" s="22"/>
      <c r="E11" s="22"/>
      <c r="F11" s="22"/>
    </row>
    <row r="12">
      <c r="A12" s="12"/>
      <c r="B12" s="12"/>
      <c r="C12" s="12"/>
      <c r="D12" s="22"/>
      <c r="E12" s="22"/>
      <c r="F12" s="22"/>
    </row>
    <row r="13">
      <c r="A13" s="12"/>
      <c r="B13" s="12"/>
      <c r="C13" s="12"/>
      <c r="D13" s="22"/>
      <c r="E13" s="22"/>
      <c r="F13" s="22"/>
    </row>
    <row r="14">
      <c r="A14" s="12"/>
      <c r="B14" s="12"/>
      <c r="C14" s="12"/>
      <c r="D14" s="22"/>
      <c r="E14" s="22"/>
      <c r="F14" s="22"/>
    </row>
    <row r="15">
      <c r="A15" s="12"/>
      <c r="B15" s="12"/>
      <c r="C15" s="12"/>
      <c r="D15" s="22"/>
      <c r="E15" s="22"/>
      <c r="F15" s="22"/>
    </row>
    <row r="16">
      <c r="A16" s="12"/>
      <c r="B16" s="12"/>
      <c r="C16" s="12"/>
      <c r="D16" s="22"/>
      <c r="E16" s="22"/>
      <c r="F16" s="22"/>
    </row>
    <row r="17">
      <c r="A17" s="12"/>
      <c r="B17" s="12"/>
      <c r="C17" s="12"/>
      <c r="D17" s="22"/>
      <c r="E17" s="22"/>
      <c r="F17" s="22"/>
    </row>
    <row r="18">
      <c r="A18" s="12"/>
      <c r="B18" s="12"/>
      <c r="C18" s="12"/>
      <c r="D18" s="22"/>
      <c r="E18" s="22"/>
      <c r="F18" s="22"/>
    </row>
    <row r="19">
      <c r="A19" s="12"/>
      <c r="B19" s="12"/>
      <c r="C19" s="12"/>
      <c r="D19" s="22"/>
      <c r="E19" s="22"/>
      <c r="F19" s="22"/>
    </row>
    <row r="20">
      <c r="A20" s="12"/>
      <c r="B20" s="12"/>
      <c r="C20" s="12"/>
      <c r="D20" s="22"/>
      <c r="E20" s="22"/>
      <c r="F20" s="22"/>
    </row>
    <row r="21" ht="15.75" customHeight="1">
      <c r="A21" s="12"/>
      <c r="B21" s="12"/>
      <c r="C21" s="12"/>
      <c r="D21" s="22"/>
      <c r="E21" s="22"/>
      <c r="F21" s="22"/>
    </row>
    <row r="22" ht="15.75" customHeight="1">
      <c r="A22" s="12"/>
      <c r="B22" s="12"/>
      <c r="C22" s="12"/>
      <c r="D22" s="22"/>
      <c r="E22" s="22"/>
      <c r="F22" s="22"/>
    </row>
    <row r="23" ht="15.75" customHeight="1">
      <c r="A23" s="12"/>
      <c r="B23" s="12"/>
      <c r="C23" s="12"/>
      <c r="D23" s="22"/>
      <c r="E23" s="22"/>
      <c r="F23" s="22"/>
    </row>
    <row r="24" ht="15.75" customHeight="1">
      <c r="A24" s="12"/>
      <c r="B24" s="12"/>
      <c r="C24" s="12"/>
      <c r="D24" s="22"/>
      <c r="E24" s="22"/>
      <c r="F24" s="22"/>
    </row>
    <row r="25" ht="15.75" customHeight="1">
      <c r="A25" s="12"/>
      <c r="B25" s="12"/>
      <c r="C25" s="12"/>
      <c r="D25" s="22"/>
      <c r="E25" s="22"/>
      <c r="F25" s="22"/>
    </row>
    <row r="26" ht="15.75" customHeight="1">
      <c r="A26" s="12"/>
      <c r="B26" s="12"/>
      <c r="C26" s="12"/>
      <c r="D26" s="22"/>
      <c r="E26" s="22"/>
      <c r="F26" s="22"/>
    </row>
    <row r="27" ht="15.75" customHeight="1">
      <c r="A27" s="12"/>
      <c r="B27" s="12"/>
      <c r="C27" s="12"/>
      <c r="D27" s="22"/>
      <c r="E27" s="22"/>
      <c r="F27" s="22"/>
    </row>
    <row r="28" ht="15.75" customHeight="1">
      <c r="A28" s="12"/>
      <c r="B28" s="12"/>
      <c r="C28" s="12"/>
      <c r="D28" s="22"/>
      <c r="E28" s="22"/>
      <c r="F28" s="22"/>
    </row>
    <row r="29" ht="15.75" customHeight="1">
      <c r="A29" s="12"/>
      <c r="B29" s="12"/>
      <c r="C29" s="12"/>
      <c r="D29" s="22"/>
      <c r="E29" s="22"/>
      <c r="F29" s="22"/>
    </row>
    <row r="30" ht="15.75" customHeight="1">
      <c r="A30" s="12"/>
      <c r="B30" s="12"/>
      <c r="C30" s="12"/>
      <c r="D30" s="22"/>
      <c r="E30" s="22"/>
      <c r="F30" s="22"/>
    </row>
    <row r="31" ht="15.75" customHeight="1">
      <c r="A31" s="12"/>
      <c r="B31" s="12"/>
      <c r="C31" s="12"/>
      <c r="D31" s="22"/>
      <c r="E31" s="22"/>
      <c r="F31" s="22"/>
    </row>
    <row r="32" ht="15.75" customHeight="1">
      <c r="A32" s="12"/>
      <c r="B32" s="12"/>
      <c r="C32" s="12"/>
      <c r="D32" s="22"/>
      <c r="E32" s="22"/>
      <c r="F32" s="22"/>
    </row>
    <row r="33" ht="15.75" customHeight="1">
      <c r="A33" s="12"/>
      <c r="B33" s="12"/>
      <c r="C33" s="12"/>
      <c r="D33" s="22"/>
      <c r="E33" s="22"/>
      <c r="F33" s="22"/>
    </row>
    <row r="34" ht="15.75" customHeight="1">
      <c r="A34" s="12"/>
      <c r="B34" s="12"/>
      <c r="C34" s="12"/>
      <c r="D34" s="22"/>
      <c r="E34" s="22"/>
      <c r="F34" s="22"/>
    </row>
    <row r="35" ht="15.75" customHeight="1">
      <c r="A35" s="12"/>
      <c r="B35" s="12"/>
      <c r="C35" s="12"/>
      <c r="D35" s="22"/>
      <c r="E35" s="22"/>
      <c r="F35" s="22"/>
    </row>
    <row r="36" ht="15.75" customHeight="1">
      <c r="A36" s="12"/>
      <c r="B36" s="12"/>
      <c r="C36" s="12"/>
      <c r="D36" s="22"/>
      <c r="E36" s="22"/>
      <c r="F36" s="22"/>
    </row>
    <row r="37" ht="15.75" customHeight="1">
      <c r="A37" s="12"/>
      <c r="B37" s="12"/>
      <c r="C37" s="12"/>
      <c r="D37" s="22"/>
      <c r="E37" s="22"/>
      <c r="F37" s="22"/>
    </row>
    <row r="38" ht="15.75" customHeight="1">
      <c r="A38" s="12"/>
      <c r="B38" s="12"/>
      <c r="C38" s="12"/>
      <c r="D38" s="22"/>
      <c r="E38" s="22"/>
      <c r="F38" s="22"/>
    </row>
    <row r="39" ht="15.75" customHeight="1">
      <c r="A39" s="12"/>
      <c r="B39" s="12"/>
      <c r="C39" s="12"/>
      <c r="D39" s="22"/>
      <c r="E39" s="22"/>
      <c r="F39" s="22"/>
    </row>
    <row r="40" ht="15.75" customHeight="1">
      <c r="A40" s="12"/>
      <c r="B40" s="12"/>
      <c r="C40" s="12"/>
      <c r="D40" s="22"/>
      <c r="E40" s="22"/>
      <c r="F40" s="22"/>
    </row>
    <row r="41" ht="15.75" customHeight="1">
      <c r="A41" s="12"/>
      <c r="B41" s="12"/>
      <c r="C41" s="12"/>
      <c r="D41" s="22"/>
      <c r="E41" s="22"/>
      <c r="F41" s="22"/>
    </row>
    <row r="42" ht="15.75" customHeight="1">
      <c r="A42" s="12"/>
      <c r="B42" s="12"/>
      <c r="C42" s="12"/>
      <c r="D42" s="22"/>
      <c r="E42" s="22"/>
      <c r="F42" s="22"/>
    </row>
    <row r="43" ht="15.75" customHeight="1">
      <c r="A43" s="12"/>
      <c r="B43" s="12"/>
      <c r="C43" s="12"/>
      <c r="D43" s="22"/>
      <c r="E43" s="22"/>
      <c r="F43" s="22"/>
    </row>
    <row r="44" ht="15.75" customHeight="1">
      <c r="A44" s="12"/>
      <c r="B44" s="12"/>
      <c r="C44" s="12"/>
      <c r="D44" s="22"/>
      <c r="E44" s="22"/>
      <c r="F44" s="22"/>
    </row>
    <row r="45" ht="15.75" customHeight="1">
      <c r="A45" s="12"/>
      <c r="B45" s="12"/>
      <c r="C45" s="12"/>
      <c r="D45" s="22"/>
      <c r="E45" s="22"/>
      <c r="F45" s="22"/>
    </row>
    <row r="46" ht="15.75" customHeight="1">
      <c r="A46" s="12"/>
      <c r="B46" s="12"/>
      <c r="C46" s="12"/>
      <c r="D46" s="22"/>
      <c r="E46" s="22"/>
      <c r="F46" s="22"/>
    </row>
    <row r="47" ht="15.75" customHeight="1">
      <c r="A47" s="12"/>
      <c r="B47" s="12"/>
      <c r="C47" s="12"/>
      <c r="D47" s="22"/>
      <c r="E47" s="22"/>
      <c r="F47" s="22"/>
    </row>
    <row r="48" ht="15.75" customHeight="1">
      <c r="A48" s="12"/>
      <c r="B48" s="12"/>
      <c r="C48" s="12"/>
      <c r="D48" s="22"/>
      <c r="E48" s="22"/>
      <c r="F48" s="22"/>
    </row>
    <row r="49" ht="15.75" customHeight="1">
      <c r="A49" s="12"/>
      <c r="B49" s="12"/>
      <c r="C49" s="12"/>
      <c r="D49" s="22"/>
      <c r="E49" s="22"/>
      <c r="F49" s="22"/>
    </row>
    <row r="50" ht="15.75" customHeight="1">
      <c r="A50" s="12"/>
      <c r="B50" s="12"/>
      <c r="C50" s="12"/>
      <c r="D50" s="22"/>
      <c r="E50" s="22"/>
      <c r="F50" s="22"/>
    </row>
    <row r="51" ht="15.75" customHeight="1">
      <c r="A51" s="12"/>
      <c r="B51" s="12"/>
      <c r="C51" s="12"/>
      <c r="D51" s="22"/>
      <c r="E51" s="22"/>
      <c r="F51" s="22"/>
    </row>
    <row r="52" ht="15.75" customHeight="1">
      <c r="A52" s="12"/>
      <c r="B52" s="12"/>
      <c r="C52" s="12"/>
      <c r="D52" s="22"/>
      <c r="E52" s="22"/>
      <c r="F52" s="22"/>
    </row>
    <row r="53" ht="15.75" customHeight="1">
      <c r="A53" s="12"/>
      <c r="B53" s="12"/>
      <c r="C53" s="12"/>
      <c r="D53" s="22"/>
      <c r="E53" s="22"/>
      <c r="F53" s="22"/>
    </row>
    <row r="54" ht="15.75" customHeight="1">
      <c r="A54" s="12"/>
      <c r="B54" s="12"/>
      <c r="C54" s="12"/>
      <c r="D54" s="22"/>
      <c r="E54" s="22"/>
      <c r="F54" s="22"/>
    </row>
    <row r="55" ht="15.75" customHeight="1">
      <c r="A55" s="12"/>
      <c r="B55" s="12"/>
      <c r="C55" s="12"/>
      <c r="D55" s="22"/>
      <c r="E55" s="22"/>
      <c r="F55" s="22"/>
    </row>
    <row r="56" ht="15.75" customHeight="1">
      <c r="A56" s="12"/>
      <c r="B56" s="12"/>
      <c r="C56" s="12"/>
      <c r="D56" s="22"/>
      <c r="E56" s="22"/>
      <c r="F56" s="22"/>
    </row>
    <row r="57" ht="15.75" customHeight="1">
      <c r="A57" s="12"/>
      <c r="B57" s="12"/>
      <c r="C57" s="12"/>
      <c r="D57" s="22"/>
      <c r="E57" s="22"/>
      <c r="F57" s="22"/>
    </row>
    <row r="58" ht="15.75" customHeight="1">
      <c r="A58" s="12"/>
      <c r="B58" s="12"/>
      <c r="C58" s="12"/>
      <c r="D58" s="22"/>
      <c r="E58" s="22"/>
      <c r="F58" s="22"/>
    </row>
    <row r="59" ht="15.75" customHeight="1">
      <c r="A59" s="12"/>
      <c r="B59" s="12"/>
      <c r="C59" s="12"/>
      <c r="D59" s="22"/>
      <c r="E59" s="22"/>
      <c r="F59" s="22"/>
    </row>
    <row r="60" ht="15.75" customHeight="1">
      <c r="A60" s="12"/>
      <c r="B60" s="12"/>
      <c r="C60" s="12"/>
      <c r="D60" s="22"/>
      <c r="E60" s="22"/>
      <c r="F60" s="22"/>
    </row>
    <row r="61" ht="15.75" customHeight="1">
      <c r="A61" s="12"/>
      <c r="B61" s="12"/>
      <c r="C61" s="12"/>
      <c r="D61" s="22"/>
      <c r="E61" s="22"/>
      <c r="F61" s="22"/>
    </row>
    <row r="62" ht="15.75" customHeight="1">
      <c r="A62" s="12"/>
      <c r="B62" s="12"/>
      <c r="C62" s="12"/>
      <c r="D62" s="22"/>
      <c r="E62" s="22"/>
      <c r="F62" s="22"/>
    </row>
    <row r="63" ht="15.75" customHeight="1">
      <c r="A63" s="12"/>
      <c r="B63" s="12"/>
      <c r="C63" s="12"/>
      <c r="D63" s="22"/>
      <c r="E63" s="22"/>
      <c r="F63" s="22"/>
    </row>
    <row r="64" ht="15.75" customHeight="1">
      <c r="A64" s="12"/>
      <c r="B64" s="12"/>
      <c r="C64" s="12"/>
      <c r="D64" s="22"/>
      <c r="E64" s="22"/>
      <c r="F64" s="22"/>
    </row>
    <row r="65" ht="15.75" customHeight="1">
      <c r="A65" s="12"/>
      <c r="B65" s="12"/>
      <c r="C65" s="12"/>
      <c r="D65" s="22"/>
      <c r="E65" s="22"/>
      <c r="F65" s="22"/>
    </row>
    <row r="66" ht="15.75" customHeight="1">
      <c r="A66" s="12"/>
      <c r="B66" s="12"/>
      <c r="C66" s="12"/>
      <c r="D66" s="22"/>
      <c r="E66" s="22"/>
      <c r="F66" s="22"/>
    </row>
    <row r="67" ht="15.75" customHeight="1">
      <c r="A67" s="12"/>
      <c r="B67" s="12"/>
      <c r="C67" s="12"/>
      <c r="D67" s="22"/>
      <c r="E67" s="22"/>
      <c r="F67" s="22"/>
    </row>
    <row r="68" ht="15.75" customHeight="1">
      <c r="A68" s="12"/>
      <c r="B68" s="12"/>
      <c r="C68" s="12"/>
      <c r="D68" s="22"/>
      <c r="E68" s="22"/>
      <c r="F68" s="22"/>
    </row>
    <row r="69" ht="15.75" customHeight="1">
      <c r="A69" s="12"/>
      <c r="B69" s="12"/>
      <c r="C69" s="12"/>
      <c r="D69" s="22"/>
      <c r="E69" s="22"/>
      <c r="F69" s="22"/>
    </row>
    <row r="70" ht="15.75" customHeight="1">
      <c r="A70" s="12"/>
      <c r="B70" s="12"/>
      <c r="C70" s="12"/>
      <c r="D70" s="22"/>
      <c r="E70" s="22"/>
      <c r="F70" s="22"/>
    </row>
    <row r="71" ht="15.75" customHeight="1">
      <c r="A71" s="12"/>
      <c r="B71" s="12"/>
      <c r="C71" s="12"/>
      <c r="D71" s="22"/>
      <c r="E71" s="22"/>
      <c r="F71" s="22"/>
    </row>
    <row r="72" ht="15.75" customHeight="1">
      <c r="A72" s="12"/>
      <c r="B72" s="12"/>
      <c r="C72" s="12"/>
      <c r="D72" s="22"/>
      <c r="E72" s="22"/>
      <c r="F72" s="22"/>
    </row>
    <row r="73" ht="15.75" customHeight="1">
      <c r="A73" s="12"/>
      <c r="B73" s="12"/>
      <c r="C73" s="12"/>
      <c r="D73" s="22"/>
      <c r="E73" s="22"/>
      <c r="F73" s="22"/>
    </row>
    <row r="74" ht="15.75" customHeight="1">
      <c r="A74" s="12"/>
      <c r="B74" s="12"/>
      <c r="C74" s="12"/>
      <c r="D74" s="22"/>
      <c r="E74" s="22"/>
      <c r="F74" s="22"/>
    </row>
    <row r="75" ht="15.75" customHeight="1">
      <c r="A75" s="12"/>
      <c r="B75" s="12"/>
      <c r="C75" s="12"/>
      <c r="D75" s="22"/>
      <c r="E75" s="22"/>
      <c r="F75" s="22"/>
    </row>
    <row r="76" ht="15.75" customHeight="1">
      <c r="A76" s="12"/>
      <c r="B76" s="12"/>
      <c r="C76" s="12"/>
      <c r="D76" s="22"/>
      <c r="E76" s="22"/>
      <c r="F76" s="22"/>
    </row>
    <row r="77" ht="15.75" customHeight="1">
      <c r="A77" s="12"/>
      <c r="B77" s="12"/>
      <c r="C77" s="12"/>
      <c r="D77" s="22"/>
      <c r="E77" s="22"/>
      <c r="F77" s="22"/>
    </row>
    <row r="78" ht="15.75" customHeight="1">
      <c r="A78" s="12"/>
      <c r="B78" s="12"/>
      <c r="C78" s="12"/>
      <c r="D78" s="22"/>
      <c r="E78" s="22"/>
      <c r="F78" s="22"/>
    </row>
    <row r="79" ht="15.75" customHeight="1">
      <c r="A79" s="12"/>
      <c r="B79" s="12"/>
      <c r="C79" s="12"/>
      <c r="D79" s="22"/>
      <c r="E79" s="22"/>
      <c r="F79" s="22"/>
    </row>
    <row r="80" ht="15.75" customHeight="1">
      <c r="A80" s="12"/>
      <c r="B80" s="12"/>
      <c r="C80" s="12"/>
      <c r="D80" s="22"/>
      <c r="E80" s="22"/>
      <c r="F80" s="22"/>
    </row>
    <row r="81" ht="15.75" customHeight="1">
      <c r="A81" s="12"/>
      <c r="B81" s="12"/>
      <c r="C81" s="12"/>
      <c r="D81" s="22"/>
      <c r="E81" s="22"/>
      <c r="F81" s="22"/>
    </row>
    <row r="82" ht="15.75" customHeight="1">
      <c r="A82" s="12"/>
      <c r="B82" s="12"/>
      <c r="C82" s="12"/>
      <c r="D82" s="22"/>
      <c r="E82" s="22"/>
      <c r="F82" s="22"/>
    </row>
    <row r="83" ht="15.75" customHeight="1">
      <c r="A83" s="12"/>
      <c r="B83" s="12"/>
      <c r="C83" s="12"/>
      <c r="D83" s="22"/>
      <c r="E83" s="22"/>
      <c r="F83" s="22"/>
    </row>
    <row r="84" ht="15.75" customHeight="1">
      <c r="A84" s="12"/>
      <c r="B84" s="12"/>
      <c r="C84" s="12"/>
      <c r="D84" s="22"/>
      <c r="E84" s="22"/>
      <c r="F84" s="22"/>
    </row>
    <row r="85" ht="15.75" customHeight="1">
      <c r="A85" s="12"/>
      <c r="B85" s="12"/>
      <c r="C85" s="12"/>
      <c r="D85" s="22"/>
      <c r="E85" s="22"/>
      <c r="F85" s="22"/>
    </row>
    <row r="86" ht="15.75" customHeight="1">
      <c r="A86" s="12"/>
      <c r="B86" s="12"/>
      <c r="C86" s="12"/>
      <c r="D86" s="22"/>
      <c r="E86" s="22"/>
      <c r="F86" s="22"/>
    </row>
    <row r="87" ht="15.75" customHeight="1">
      <c r="A87" s="12"/>
      <c r="B87" s="12"/>
      <c r="C87" s="12"/>
      <c r="D87" s="22"/>
      <c r="E87" s="22"/>
      <c r="F87" s="22"/>
    </row>
    <row r="88" ht="15.75" customHeight="1">
      <c r="A88" s="12"/>
      <c r="B88" s="12"/>
      <c r="C88" s="12"/>
      <c r="D88" s="22"/>
      <c r="E88" s="22"/>
      <c r="F88" s="22"/>
    </row>
    <row r="89" ht="15.75" customHeight="1">
      <c r="A89" s="12"/>
      <c r="B89" s="12"/>
      <c r="C89" s="12"/>
      <c r="D89" s="22"/>
      <c r="E89" s="22"/>
      <c r="F89" s="22"/>
    </row>
    <row r="90" ht="15.75" customHeight="1">
      <c r="A90" s="12"/>
      <c r="B90" s="12"/>
      <c r="C90" s="12"/>
      <c r="D90" s="22"/>
      <c r="E90" s="22"/>
      <c r="F90" s="22"/>
    </row>
    <row r="91" ht="15.75" customHeight="1">
      <c r="A91" s="12"/>
      <c r="B91" s="12"/>
      <c r="C91" s="12"/>
      <c r="D91" s="22"/>
      <c r="E91" s="22"/>
      <c r="F91" s="22"/>
    </row>
    <row r="92" ht="15.75" customHeight="1">
      <c r="A92" s="12"/>
      <c r="B92" s="12"/>
      <c r="C92" s="12"/>
      <c r="D92" s="22"/>
      <c r="E92" s="22"/>
      <c r="F92" s="22"/>
    </row>
    <row r="93" ht="15.75" customHeight="1">
      <c r="A93" s="12"/>
      <c r="B93" s="12"/>
      <c r="C93" s="12"/>
      <c r="D93" s="22"/>
      <c r="E93" s="22"/>
      <c r="F93" s="22"/>
    </row>
    <row r="94" ht="15.75" customHeight="1">
      <c r="A94" s="12"/>
      <c r="B94" s="12"/>
      <c r="C94" s="12"/>
      <c r="D94" s="22"/>
      <c r="E94" s="22"/>
      <c r="F94" s="22"/>
    </row>
    <row r="95" ht="15.75" customHeight="1">
      <c r="A95" s="12"/>
      <c r="B95" s="12"/>
      <c r="C95" s="12"/>
      <c r="D95" s="22"/>
      <c r="E95" s="22"/>
      <c r="F95" s="22"/>
    </row>
    <row r="96" ht="15.75" customHeight="1">
      <c r="A96" s="12"/>
      <c r="B96" s="12"/>
      <c r="C96" s="12"/>
      <c r="D96" s="22"/>
      <c r="E96" s="22"/>
      <c r="F96" s="22"/>
    </row>
    <row r="97" ht="15.75" customHeight="1">
      <c r="A97" s="12"/>
      <c r="B97" s="12"/>
      <c r="C97" s="12"/>
      <c r="D97" s="22"/>
      <c r="E97" s="22"/>
      <c r="F97" s="22"/>
    </row>
    <row r="98" ht="15.75" customHeight="1">
      <c r="A98" s="12"/>
      <c r="B98" s="12"/>
      <c r="C98" s="12"/>
      <c r="D98" s="22"/>
      <c r="E98" s="22"/>
      <c r="F98" s="22"/>
    </row>
    <row r="99" ht="15.75" customHeight="1">
      <c r="A99" s="12"/>
      <c r="B99" s="12"/>
      <c r="C99" s="12"/>
      <c r="D99" s="22"/>
      <c r="E99" s="22"/>
      <c r="F99" s="22"/>
    </row>
    <row r="100" ht="15.75" customHeight="1">
      <c r="A100" s="12"/>
      <c r="B100" s="12"/>
      <c r="C100" s="12"/>
      <c r="D100" s="22"/>
      <c r="E100" s="22"/>
      <c r="F100" s="22"/>
    </row>
    <row r="101" ht="15.75" customHeight="1">
      <c r="A101" s="12"/>
      <c r="B101" s="12"/>
      <c r="C101" s="12"/>
      <c r="D101" s="22"/>
      <c r="E101" s="22"/>
      <c r="F101" s="22"/>
    </row>
    <row r="102" ht="15.75" customHeight="1">
      <c r="A102" s="12"/>
      <c r="B102" s="12"/>
      <c r="C102" s="12"/>
      <c r="D102" s="22"/>
      <c r="E102" s="22"/>
      <c r="F102" s="22"/>
    </row>
    <row r="103" ht="15.75" customHeight="1">
      <c r="A103" s="12"/>
      <c r="B103" s="12"/>
      <c r="C103" s="12"/>
      <c r="D103" s="22"/>
      <c r="E103" s="22"/>
      <c r="F103" s="22"/>
    </row>
    <row r="104" ht="15.75" customHeight="1">
      <c r="A104" s="12"/>
      <c r="B104" s="12"/>
      <c r="C104" s="12"/>
      <c r="D104" s="22"/>
      <c r="E104" s="22"/>
      <c r="F104" s="22"/>
    </row>
    <row r="105" ht="15.75" customHeight="1">
      <c r="B105" s="24"/>
      <c r="C105" s="24"/>
    </row>
    <row r="106" ht="15.75" customHeight="1">
      <c r="B106" s="24"/>
      <c r="C106" s="24"/>
    </row>
    <row r="107" ht="15.75" customHeight="1">
      <c r="B107" s="24"/>
      <c r="C107" s="24"/>
    </row>
    <row r="108" ht="15.75" customHeight="1">
      <c r="B108" s="24"/>
      <c r="C108" s="24"/>
    </row>
    <row r="109" ht="15.75" customHeight="1">
      <c r="B109" s="24"/>
      <c r="C109" s="24"/>
    </row>
    <row r="110" ht="15.75" customHeight="1">
      <c r="B110" s="24"/>
      <c r="C110" s="24"/>
    </row>
    <row r="111" ht="15.75" customHeight="1">
      <c r="B111" s="24"/>
      <c r="C111" s="24"/>
    </row>
    <row r="112" ht="15.75" customHeight="1">
      <c r="B112" s="24"/>
      <c r="C112" s="24"/>
    </row>
    <row r="113" ht="15.75" customHeight="1">
      <c r="B113" s="24"/>
      <c r="C113" s="24"/>
    </row>
    <row r="114" ht="15.75" customHeight="1">
      <c r="B114" s="24"/>
      <c r="C114" s="24"/>
    </row>
    <row r="115" ht="15.75" customHeight="1">
      <c r="B115" s="24"/>
      <c r="C115" s="24"/>
    </row>
    <row r="116" ht="15.75" customHeight="1">
      <c r="B116" s="24"/>
      <c r="C116" s="24"/>
    </row>
    <row r="117" ht="15.75" customHeight="1">
      <c r="B117" s="24"/>
      <c r="C117" s="24"/>
    </row>
    <row r="118" ht="15.75" customHeight="1">
      <c r="B118" s="24"/>
      <c r="C118" s="24"/>
    </row>
    <row r="119" ht="15.75" customHeight="1">
      <c r="B119" s="24"/>
      <c r="C119" s="24"/>
    </row>
    <row r="120" ht="15.75" customHeight="1">
      <c r="B120" s="24"/>
      <c r="C120" s="24"/>
    </row>
    <row r="121" ht="15.75" customHeight="1">
      <c r="B121" s="24"/>
      <c r="C121" s="24"/>
    </row>
    <row r="122" ht="15.75" customHeight="1">
      <c r="B122" s="24"/>
      <c r="C122" s="24"/>
    </row>
    <row r="123" ht="15.75" customHeight="1">
      <c r="B123" s="24"/>
      <c r="C123" s="24"/>
    </row>
    <row r="124" ht="15.75" customHeight="1">
      <c r="B124" s="24"/>
      <c r="C124" s="24"/>
    </row>
    <row r="125" ht="15.75" customHeight="1">
      <c r="B125" s="24"/>
      <c r="C125" s="24"/>
    </row>
    <row r="126" ht="15.75" customHeight="1">
      <c r="B126" s="24"/>
      <c r="C126" s="24"/>
    </row>
    <row r="127" ht="15.75" customHeight="1">
      <c r="B127" s="24"/>
      <c r="C127" s="24"/>
    </row>
    <row r="128" ht="15.75" customHeight="1">
      <c r="B128" s="24"/>
      <c r="C128" s="24"/>
    </row>
    <row r="129" ht="15.75" customHeight="1">
      <c r="B129" s="24"/>
      <c r="C129" s="24"/>
    </row>
    <row r="130" ht="15.75" customHeight="1">
      <c r="B130" s="24"/>
      <c r="C130" s="24"/>
    </row>
    <row r="131" ht="15.75" customHeight="1">
      <c r="B131" s="24"/>
      <c r="C131" s="24"/>
    </row>
    <row r="132" ht="15.75" customHeight="1">
      <c r="B132" s="24"/>
      <c r="C132" s="24"/>
    </row>
    <row r="133" ht="15.75" customHeight="1">
      <c r="B133" s="24"/>
      <c r="C133" s="24"/>
    </row>
    <row r="134" ht="15.75" customHeight="1">
      <c r="B134" s="24"/>
      <c r="C134" s="24"/>
    </row>
    <row r="135" ht="15.75" customHeight="1">
      <c r="B135" s="24"/>
      <c r="C135" s="24"/>
    </row>
    <row r="136" ht="15.75" customHeight="1">
      <c r="B136" s="24"/>
      <c r="C136" s="24"/>
    </row>
    <row r="137" ht="15.75" customHeight="1">
      <c r="B137" s="24"/>
      <c r="C137" s="24"/>
    </row>
    <row r="138" ht="15.75" customHeight="1">
      <c r="B138" s="24"/>
      <c r="C138" s="24"/>
    </row>
    <row r="139" ht="15.75" customHeight="1">
      <c r="B139" s="24"/>
      <c r="C139" s="24"/>
    </row>
    <row r="140" ht="15.75" customHeight="1">
      <c r="B140" s="24"/>
      <c r="C140" s="24"/>
    </row>
    <row r="141" ht="15.75" customHeight="1">
      <c r="B141" s="24"/>
      <c r="C141" s="24"/>
    </row>
    <row r="142" ht="15.75" customHeight="1">
      <c r="B142" s="24"/>
      <c r="C142" s="24"/>
    </row>
    <row r="143" ht="15.75" customHeight="1">
      <c r="B143" s="24"/>
      <c r="C143" s="24"/>
    </row>
    <row r="144" ht="15.75" customHeight="1">
      <c r="B144" s="24"/>
      <c r="C144" s="24"/>
    </row>
    <row r="145" ht="15.75" customHeight="1">
      <c r="B145" s="24"/>
      <c r="C145" s="24"/>
    </row>
    <row r="146" ht="15.75" customHeight="1">
      <c r="B146" s="24"/>
      <c r="C146" s="24"/>
    </row>
    <row r="147" ht="15.75" customHeight="1">
      <c r="B147" s="24"/>
      <c r="C147" s="24"/>
    </row>
    <row r="148" ht="15.75" customHeight="1">
      <c r="B148" s="24"/>
      <c r="C148" s="24"/>
    </row>
    <row r="149" ht="15.75" customHeight="1">
      <c r="B149" s="24"/>
      <c r="C149" s="24"/>
    </row>
    <row r="150" ht="15.75" customHeight="1">
      <c r="B150" s="24"/>
      <c r="C150" s="24"/>
    </row>
    <row r="151" ht="15.75" customHeight="1">
      <c r="B151" s="24"/>
      <c r="C151" s="24"/>
    </row>
    <row r="152" ht="15.75" customHeight="1">
      <c r="B152" s="24"/>
      <c r="C152" s="24"/>
    </row>
    <row r="153" ht="15.75" customHeight="1">
      <c r="B153" s="24"/>
      <c r="C153" s="24"/>
    </row>
    <row r="154" ht="15.75" customHeight="1">
      <c r="B154" s="24"/>
      <c r="C154" s="24"/>
    </row>
    <row r="155" ht="15.75" customHeight="1">
      <c r="B155" s="24"/>
      <c r="C155" s="24"/>
    </row>
    <row r="156" ht="15.75" customHeight="1">
      <c r="B156" s="24"/>
      <c r="C156" s="24"/>
    </row>
    <row r="157" ht="15.75" customHeight="1">
      <c r="B157" s="24"/>
      <c r="C157" s="24"/>
    </row>
    <row r="158" ht="15.75" customHeight="1">
      <c r="B158" s="24"/>
      <c r="C158" s="24"/>
    </row>
    <row r="159" ht="15.75" customHeight="1">
      <c r="B159" s="24"/>
      <c r="C159" s="24"/>
    </row>
    <row r="160" ht="15.75" customHeight="1">
      <c r="B160" s="24"/>
      <c r="C160" s="24"/>
    </row>
    <row r="161" ht="15.75" customHeight="1">
      <c r="B161" s="24"/>
      <c r="C161" s="24"/>
    </row>
    <row r="162" ht="15.75" customHeight="1">
      <c r="B162" s="24"/>
      <c r="C162" s="24"/>
    </row>
    <row r="163" ht="15.75" customHeight="1">
      <c r="B163" s="24"/>
      <c r="C163" s="24"/>
    </row>
    <row r="164" ht="15.75" customHeight="1">
      <c r="B164" s="24"/>
      <c r="C164" s="24"/>
    </row>
    <row r="165" ht="15.75" customHeight="1">
      <c r="B165" s="24"/>
      <c r="C165" s="24"/>
    </row>
    <row r="166" ht="15.75" customHeight="1">
      <c r="B166" s="24"/>
      <c r="C166" s="24"/>
    </row>
    <row r="167" ht="15.75" customHeight="1">
      <c r="B167" s="24"/>
      <c r="C167" s="24"/>
    </row>
    <row r="168" ht="15.75" customHeight="1">
      <c r="B168" s="24"/>
      <c r="C168" s="24"/>
    </row>
    <row r="169" ht="15.75" customHeight="1">
      <c r="B169" s="24"/>
      <c r="C169" s="24"/>
    </row>
    <row r="170" ht="15.75" customHeight="1">
      <c r="B170" s="24"/>
      <c r="C170" s="24"/>
    </row>
    <row r="171" ht="15.75" customHeight="1">
      <c r="B171" s="24"/>
      <c r="C171" s="24"/>
    </row>
    <row r="172" ht="15.75" customHeight="1">
      <c r="B172" s="24"/>
      <c r="C172" s="24"/>
    </row>
    <row r="173" ht="15.75" customHeight="1">
      <c r="B173" s="24"/>
      <c r="C173" s="24"/>
    </row>
    <row r="174" ht="15.75" customHeight="1">
      <c r="B174" s="24"/>
      <c r="C174" s="24"/>
    </row>
    <row r="175" ht="15.75" customHeight="1">
      <c r="B175" s="24"/>
      <c r="C175" s="24"/>
    </row>
    <row r="176" ht="15.75" customHeight="1">
      <c r="B176" s="24"/>
      <c r="C176" s="24"/>
    </row>
    <row r="177" ht="15.75" customHeight="1">
      <c r="B177" s="24"/>
      <c r="C177" s="24"/>
    </row>
    <row r="178" ht="15.75" customHeight="1">
      <c r="B178" s="24"/>
      <c r="C178" s="24"/>
    </row>
    <row r="179" ht="15.75" customHeight="1">
      <c r="B179" s="24"/>
      <c r="C179" s="24"/>
    </row>
    <row r="180" ht="15.75" customHeight="1">
      <c r="B180" s="24"/>
      <c r="C180" s="24"/>
    </row>
    <row r="181" ht="15.75" customHeight="1">
      <c r="B181" s="24"/>
      <c r="C181" s="24"/>
    </row>
    <row r="182" ht="15.75" customHeight="1">
      <c r="B182" s="24"/>
      <c r="C182" s="24"/>
    </row>
    <row r="183" ht="15.75" customHeight="1">
      <c r="B183" s="24"/>
      <c r="C183" s="24"/>
    </row>
    <row r="184" ht="15.75" customHeight="1">
      <c r="B184" s="24"/>
      <c r="C184" s="24"/>
    </row>
    <row r="185" ht="15.75" customHeight="1">
      <c r="B185" s="24"/>
      <c r="C185" s="24"/>
    </row>
    <row r="186" ht="15.75" customHeight="1">
      <c r="B186" s="24"/>
      <c r="C186" s="24"/>
    </row>
    <row r="187" ht="15.75" customHeight="1">
      <c r="B187" s="24"/>
      <c r="C187" s="24"/>
    </row>
    <row r="188" ht="15.75" customHeight="1">
      <c r="B188" s="24"/>
      <c r="C188" s="24"/>
    </row>
    <row r="189" ht="15.75" customHeight="1">
      <c r="B189" s="24"/>
      <c r="C189" s="24"/>
    </row>
    <row r="190" ht="15.75" customHeight="1">
      <c r="B190" s="24"/>
      <c r="C190" s="24"/>
    </row>
    <row r="191" ht="15.75" customHeight="1">
      <c r="B191" s="24"/>
      <c r="C191" s="24"/>
    </row>
    <row r="192" ht="15.75" customHeight="1">
      <c r="B192" s="24"/>
      <c r="C192" s="24"/>
    </row>
    <row r="193" ht="15.75" customHeight="1">
      <c r="B193" s="24"/>
      <c r="C193" s="24"/>
    </row>
    <row r="194" ht="15.75" customHeight="1">
      <c r="B194" s="24"/>
      <c r="C194" s="24"/>
    </row>
    <row r="195" ht="15.75" customHeight="1">
      <c r="B195" s="24"/>
      <c r="C195" s="24"/>
    </row>
    <row r="196" ht="15.75" customHeight="1">
      <c r="B196" s="24"/>
      <c r="C196" s="24"/>
    </row>
    <row r="197" ht="15.75" customHeight="1">
      <c r="B197" s="24"/>
      <c r="C197" s="24"/>
    </row>
    <row r="198" ht="15.75" customHeight="1">
      <c r="B198" s="24"/>
      <c r="C198" s="24"/>
    </row>
    <row r="199" ht="15.75" customHeight="1">
      <c r="B199" s="24"/>
      <c r="C199" s="24"/>
    </row>
    <row r="200" ht="15.75" customHeight="1">
      <c r="B200" s="24"/>
      <c r="C200" s="24"/>
    </row>
    <row r="201" ht="15.75" customHeight="1">
      <c r="B201" s="24"/>
      <c r="C201" s="24"/>
    </row>
    <row r="202" ht="15.75" customHeight="1">
      <c r="B202" s="24"/>
      <c r="C202" s="24"/>
    </row>
    <row r="203" ht="15.75" customHeight="1">
      <c r="B203" s="24"/>
      <c r="C203" s="24"/>
    </row>
    <row r="204" ht="15.75" customHeight="1">
      <c r="B204" s="24"/>
      <c r="C204" s="24"/>
    </row>
    <row r="205" ht="15.75" customHeight="1">
      <c r="B205" s="24"/>
      <c r="C205" s="24"/>
    </row>
    <row r="206" ht="15.75" customHeight="1">
      <c r="B206" s="24"/>
      <c r="C206" s="24"/>
    </row>
    <row r="207" ht="15.75" customHeight="1">
      <c r="B207" s="24"/>
      <c r="C207" s="24"/>
    </row>
    <row r="208" ht="15.75" customHeight="1">
      <c r="B208" s="24"/>
      <c r="C208" s="24"/>
    </row>
    <row r="209" ht="15.75" customHeight="1">
      <c r="B209" s="24"/>
      <c r="C209" s="24"/>
    </row>
    <row r="210" ht="15.75" customHeight="1">
      <c r="B210" s="24"/>
      <c r="C210" s="24"/>
    </row>
    <row r="211" ht="15.75" customHeight="1">
      <c r="B211" s="24"/>
      <c r="C211" s="24"/>
    </row>
    <row r="212" ht="15.75" customHeight="1">
      <c r="B212" s="24"/>
      <c r="C212" s="24"/>
    </row>
    <row r="213" ht="15.75" customHeight="1">
      <c r="B213" s="24"/>
      <c r="C213" s="24"/>
    </row>
    <row r="214" ht="15.75" customHeight="1">
      <c r="B214" s="24"/>
      <c r="C214" s="24"/>
    </row>
    <row r="215" ht="15.75" customHeight="1">
      <c r="B215" s="24"/>
      <c r="C215" s="24"/>
    </row>
    <row r="216" ht="15.75" customHeight="1">
      <c r="B216" s="24"/>
      <c r="C216" s="24"/>
    </row>
    <row r="217" ht="15.75" customHeight="1">
      <c r="B217" s="24"/>
      <c r="C217" s="24"/>
    </row>
    <row r="218" ht="15.75" customHeight="1">
      <c r="B218" s="24"/>
      <c r="C218" s="24"/>
    </row>
    <row r="219" ht="15.75" customHeight="1">
      <c r="B219" s="24"/>
      <c r="C219" s="24"/>
    </row>
    <row r="220" ht="15.75" customHeight="1">
      <c r="B220" s="24"/>
      <c r="C220" s="24"/>
    </row>
    <row r="221" ht="15.75" customHeight="1">
      <c r="B221" s="24"/>
      <c r="C221" s="24"/>
    </row>
    <row r="222" ht="15.75" customHeight="1">
      <c r="B222" s="24"/>
      <c r="C222" s="24"/>
    </row>
    <row r="223" ht="15.75" customHeight="1">
      <c r="B223" s="24"/>
      <c r="C223" s="24"/>
    </row>
    <row r="224" ht="15.75" customHeight="1">
      <c r="B224" s="24"/>
      <c r="C224" s="24"/>
    </row>
    <row r="225" ht="15.75" customHeight="1">
      <c r="B225" s="24"/>
      <c r="C225" s="24"/>
    </row>
    <row r="226" ht="15.75" customHeight="1">
      <c r="B226" s="24"/>
      <c r="C226" s="24"/>
    </row>
    <row r="227" ht="15.75" customHeight="1">
      <c r="B227" s="24"/>
      <c r="C227" s="24"/>
    </row>
    <row r="228" ht="15.75" customHeight="1">
      <c r="B228" s="24"/>
      <c r="C228" s="24"/>
    </row>
    <row r="229" ht="15.75" customHeight="1">
      <c r="B229" s="24"/>
      <c r="C229" s="24"/>
    </row>
    <row r="230" ht="15.75" customHeight="1">
      <c r="B230" s="24"/>
      <c r="C230" s="24"/>
    </row>
    <row r="231" ht="15.75" customHeight="1">
      <c r="B231" s="24"/>
      <c r="C231" s="24"/>
    </row>
    <row r="232" ht="15.75" customHeight="1">
      <c r="B232" s="24"/>
      <c r="C232" s="24"/>
    </row>
    <row r="233" ht="15.75" customHeight="1">
      <c r="B233" s="24"/>
      <c r="C233" s="24"/>
    </row>
    <row r="234" ht="15.75" customHeight="1">
      <c r="B234" s="24"/>
      <c r="C234" s="24"/>
    </row>
    <row r="235" ht="15.75" customHeight="1">
      <c r="B235" s="24"/>
      <c r="C235" s="24"/>
    </row>
    <row r="236" ht="15.75" customHeight="1">
      <c r="B236" s="24"/>
      <c r="C236" s="24"/>
    </row>
    <row r="237" ht="15.75" customHeight="1">
      <c r="B237" s="24"/>
      <c r="C237" s="24"/>
    </row>
    <row r="238" ht="15.75" customHeight="1">
      <c r="B238" s="24"/>
      <c r="C238" s="24"/>
    </row>
    <row r="239" ht="15.75" customHeight="1">
      <c r="B239" s="24"/>
      <c r="C239" s="24"/>
    </row>
    <row r="240" ht="15.75" customHeight="1">
      <c r="B240" s="24"/>
      <c r="C240" s="24"/>
    </row>
    <row r="241" ht="15.75" customHeight="1">
      <c r="B241" s="24"/>
      <c r="C241" s="24"/>
    </row>
    <row r="242" ht="15.75" customHeight="1">
      <c r="B242" s="24"/>
      <c r="C242" s="24"/>
    </row>
    <row r="243" ht="15.75" customHeight="1">
      <c r="B243" s="24"/>
      <c r="C243" s="24"/>
    </row>
    <row r="244" ht="15.75" customHeight="1">
      <c r="B244" s="24"/>
      <c r="C244" s="24"/>
    </row>
    <row r="245" ht="15.75" customHeight="1">
      <c r="B245" s="24"/>
      <c r="C245" s="24"/>
    </row>
    <row r="246" ht="15.75" customHeight="1">
      <c r="B246" s="24"/>
      <c r="C246" s="24"/>
    </row>
    <row r="247" ht="15.75" customHeight="1">
      <c r="B247" s="24"/>
      <c r="C247" s="24"/>
    </row>
    <row r="248" ht="15.75" customHeight="1">
      <c r="B248" s="24"/>
      <c r="C248" s="24"/>
    </row>
    <row r="249" ht="15.75" customHeight="1">
      <c r="B249" s="24"/>
      <c r="C249" s="24"/>
    </row>
    <row r="250" ht="15.75" customHeight="1">
      <c r="B250" s="24"/>
      <c r="C250" s="24"/>
    </row>
    <row r="251" ht="15.75" customHeight="1">
      <c r="B251" s="24"/>
      <c r="C251" s="24"/>
    </row>
    <row r="252" ht="15.75" customHeight="1">
      <c r="B252" s="24"/>
      <c r="C252" s="24"/>
    </row>
    <row r="253" ht="15.75" customHeight="1">
      <c r="B253" s="24"/>
      <c r="C253" s="24"/>
    </row>
    <row r="254" ht="15.75" customHeight="1">
      <c r="B254" s="24"/>
      <c r="C254" s="24"/>
    </row>
    <row r="255" ht="15.75" customHeight="1">
      <c r="B255" s="24"/>
      <c r="C255" s="24"/>
    </row>
    <row r="256" ht="15.75" customHeight="1">
      <c r="B256" s="24"/>
      <c r="C256" s="24"/>
    </row>
    <row r="257" ht="15.75" customHeight="1">
      <c r="B257" s="24"/>
      <c r="C257" s="24"/>
    </row>
    <row r="258" ht="15.75" customHeight="1">
      <c r="B258" s="24"/>
      <c r="C258" s="24"/>
    </row>
    <row r="259" ht="15.75" customHeight="1">
      <c r="B259" s="24"/>
      <c r="C259" s="24"/>
    </row>
    <row r="260" ht="15.75" customHeight="1">
      <c r="B260" s="24"/>
      <c r="C260" s="24"/>
    </row>
    <row r="261" ht="15.75" customHeight="1">
      <c r="B261" s="24"/>
      <c r="C261" s="24"/>
    </row>
    <row r="262" ht="15.75" customHeight="1">
      <c r="B262" s="24"/>
      <c r="C262" s="24"/>
    </row>
    <row r="263" ht="15.75" customHeight="1">
      <c r="B263" s="24"/>
      <c r="C263" s="24"/>
    </row>
    <row r="264" ht="15.75" customHeight="1">
      <c r="B264" s="24"/>
      <c r="C264" s="24"/>
    </row>
    <row r="265" ht="15.75" customHeight="1">
      <c r="B265" s="24"/>
      <c r="C265" s="24"/>
    </row>
    <row r="266" ht="15.75" customHeight="1">
      <c r="B266" s="24"/>
      <c r="C266" s="24"/>
    </row>
    <row r="267" ht="15.75" customHeight="1">
      <c r="B267" s="24"/>
      <c r="C267" s="24"/>
    </row>
    <row r="268" ht="15.75" customHeight="1">
      <c r="B268" s="24"/>
      <c r="C268" s="24"/>
    </row>
    <row r="269" ht="15.75" customHeight="1">
      <c r="B269" s="24"/>
      <c r="C269" s="24"/>
    </row>
    <row r="270" ht="15.75" customHeight="1">
      <c r="B270" s="24"/>
      <c r="C270" s="24"/>
    </row>
    <row r="271" ht="15.75" customHeight="1">
      <c r="B271" s="24"/>
      <c r="C271" s="24"/>
    </row>
    <row r="272" ht="15.75" customHeight="1">
      <c r="B272" s="24"/>
      <c r="C272" s="24"/>
    </row>
    <row r="273" ht="15.75" customHeight="1">
      <c r="B273" s="24"/>
      <c r="C273" s="24"/>
    </row>
    <row r="274" ht="15.75" customHeight="1">
      <c r="B274" s="24"/>
      <c r="C274" s="24"/>
    </row>
    <row r="275" ht="15.75" customHeight="1">
      <c r="B275" s="24"/>
      <c r="C275" s="24"/>
    </row>
    <row r="276" ht="15.75" customHeight="1">
      <c r="B276" s="24"/>
      <c r="C276" s="24"/>
    </row>
    <row r="277" ht="15.75" customHeight="1">
      <c r="B277" s="24"/>
      <c r="C277" s="24"/>
    </row>
    <row r="278" ht="15.75" customHeight="1">
      <c r="B278" s="24"/>
      <c r="C278" s="24"/>
    </row>
    <row r="279" ht="15.75" customHeight="1">
      <c r="B279" s="24"/>
      <c r="C279" s="24"/>
    </row>
    <row r="280" ht="15.75" customHeight="1">
      <c r="B280" s="24"/>
      <c r="C280" s="24"/>
    </row>
    <row r="281" ht="15.75" customHeight="1">
      <c r="B281" s="24"/>
      <c r="C281" s="24"/>
    </row>
    <row r="282" ht="15.75" customHeight="1">
      <c r="B282" s="24"/>
      <c r="C282" s="24"/>
    </row>
    <row r="283" ht="15.75" customHeight="1">
      <c r="B283" s="24"/>
      <c r="C283" s="24"/>
    </row>
    <row r="284" ht="15.75" customHeight="1">
      <c r="B284" s="24"/>
      <c r="C284" s="24"/>
    </row>
    <row r="285" ht="15.75" customHeight="1">
      <c r="B285" s="24"/>
      <c r="C285" s="24"/>
    </row>
    <row r="286" ht="15.75" customHeight="1">
      <c r="B286" s="24"/>
      <c r="C286" s="24"/>
    </row>
    <row r="287" ht="15.75" customHeight="1">
      <c r="B287" s="24"/>
      <c r="C287" s="24"/>
    </row>
    <row r="288" ht="15.75" customHeight="1">
      <c r="B288" s="24"/>
      <c r="C288" s="24"/>
    </row>
    <row r="289" ht="15.75" customHeight="1">
      <c r="B289" s="24"/>
      <c r="C289" s="24"/>
    </row>
    <row r="290" ht="15.75" customHeight="1">
      <c r="B290" s="24"/>
      <c r="C290" s="24"/>
    </row>
    <row r="291" ht="15.75" customHeight="1">
      <c r="B291" s="24"/>
      <c r="C291" s="24"/>
    </row>
    <row r="292" ht="15.75" customHeight="1">
      <c r="B292" s="24"/>
      <c r="C292" s="24"/>
    </row>
    <row r="293" ht="15.75" customHeight="1">
      <c r="B293" s="24"/>
      <c r="C293" s="24"/>
    </row>
    <row r="294" ht="15.75" customHeight="1">
      <c r="B294" s="24"/>
      <c r="C294" s="24"/>
    </row>
    <row r="295" ht="15.75" customHeight="1">
      <c r="B295" s="24"/>
      <c r="C295" s="24"/>
    </row>
    <row r="296" ht="15.75" customHeight="1">
      <c r="B296" s="24"/>
      <c r="C296" s="24"/>
    </row>
    <row r="297" ht="15.75" customHeight="1">
      <c r="B297" s="24"/>
      <c r="C297" s="24"/>
    </row>
    <row r="298" ht="15.75" customHeight="1">
      <c r="B298" s="24"/>
      <c r="C298" s="24"/>
    </row>
    <row r="299" ht="15.75" customHeight="1">
      <c r="B299" s="24"/>
      <c r="C299" s="24"/>
    </row>
    <row r="300" ht="15.75" customHeight="1">
      <c r="B300" s="24"/>
      <c r="C300" s="24"/>
    </row>
    <row r="301" ht="15.75" customHeight="1">
      <c r="B301" s="24"/>
      <c r="C301" s="24"/>
    </row>
    <row r="302" ht="15.75" customHeight="1">
      <c r="B302" s="24"/>
      <c r="C302" s="24"/>
    </row>
    <row r="303" ht="15.75" customHeight="1">
      <c r="B303" s="24"/>
      <c r="C303" s="24"/>
    </row>
    <row r="304" ht="15.75" customHeight="1">
      <c r="B304" s="24"/>
      <c r="C304" s="24"/>
    </row>
    <row r="305" ht="15.75" customHeight="1">
      <c r="B305" s="24"/>
      <c r="C305" s="24"/>
    </row>
    <row r="306" ht="15.75" customHeight="1">
      <c r="B306" s="24"/>
      <c r="C306" s="24"/>
    </row>
    <row r="307" ht="15.75" customHeight="1">
      <c r="B307" s="24"/>
      <c r="C307" s="24"/>
    </row>
    <row r="308" ht="15.75" customHeight="1">
      <c r="B308" s="24"/>
      <c r="C308" s="24"/>
    </row>
    <row r="309" ht="15.75" customHeight="1">
      <c r="B309" s="24"/>
      <c r="C309" s="24"/>
    </row>
    <row r="310" ht="15.75" customHeight="1">
      <c r="B310" s="24"/>
      <c r="C310" s="24"/>
    </row>
    <row r="311" ht="15.75" customHeight="1">
      <c r="B311" s="24"/>
      <c r="C311" s="24"/>
    </row>
    <row r="312" ht="15.75" customHeight="1">
      <c r="B312" s="24"/>
      <c r="C312" s="24"/>
    </row>
    <row r="313" ht="15.75" customHeight="1">
      <c r="B313" s="24"/>
      <c r="C313" s="24"/>
    </row>
    <row r="314" ht="15.75" customHeight="1">
      <c r="B314" s="24"/>
      <c r="C314" s="24"/>
    </row>
    <row r="315" ht="15.75" customHeight="1">
      <c r="B315" s="24"/>
      <c r="C315" s="24"/>
    </row>
    <row r="316" ht="15.75" customHeight="1">
      <c r="B316" s="24"/>
      <c r="C316" s="24"/>
    </row>
    <row r="317" ht="15.75" customHeight="1">
      <c r="B317" s="24"/>
      <c r="C317" s="24"/>
    </row>
    <row r="318" ht="15.75" customHeight="1">
      <c r="B318" s="24"/>
      <c r="C318" s="24"/>
    </row>
    <row r="319" ht="15.75" customHeight="1">
      <c r="B319" s="24"/>
      <c r="C319" s="24"/>
    </row>
    <row r="320" ht="15.75" customHeight="1">
      <c r="B320" s="24"/>
      <c r="C320" s="24"/>
    </row>
    <row r="321" ht="15.75" customHeight="1">
      <c r="B321" s="24"/>
      <c r="C321" s="24"/>
    </row>
    <row r="322" ht="15.75" customHeight="1">
      <c r="B322" s="24"/>
      <c r="C322" s="24"/>
    </row>
    <row r="323" ht="15.75" customHeight="1">
      <c r="B323" s="24"/>
      <c r="C323" s="24"/>
    </row>
    <row r="324" ht="15.75" customHeight="1">
      <c r="B324" s="24"/>
      <c r="C324" s="24"/>
    </row>
    <row r="325" ht="15.75" customHeight="1">
      <c r="B325" s="24"/>
      <c r="C325" s="24"/>
    </row>
    <row r="326" ht="15.75" customHeight="1">
      <c r="B326" s="24"/>
      <c r="C326" s="24"/>
    </row>
    <row r="327" ht="15.75" customHeight="1">
      <c r="B327" s="24"/>
      <c r="C327" s="24"/>
    </row>
    <row r="328" ht="15.75" customHeight="1">
      <c r="B328" s="24"/>
      <c r="C328" s="24"/>
    </row>
    <row r="329" ht="15.75" customHeight="1">
      <c r="B329" s="24"/>
      <c r="C329" s="24"/>
    </row>
    <row r="330" ht="15.75" customHeight="1">
      <c r="B330" s="24"/>
      <c r="C330" s="24"/>
    </row>
    <row r="331" ht="15.75" customHeight="1">
      <c r="B331" s="24"/>
      <c r="C331" s="24"/>
    </row>
    <row r="332" ht="15.75" customHeight="1">
      <c r="B332" s="24"/>
      <c r="C332" s="24"/>
    </row>
    <row r="333" ht="15.75" customHeight="1">
      <c r="B333" s="24"/>
      <c r="C333" s="24"/>
    </row>
    <row r="334" ht="15.75" customHeight="1">
      <c r="B334" s="24"/>
      <c r="C334" s="24"/>
    </row>
    <row r="335" ht="15.75" customHeight="1">
      <c r="B335" s="24"/>
      <c r="C335" s="24"/>
    </row>
    <row r="336" ht="15.75" customHeight="1">
      <c r="B336" s="24"/>
      <c r="C336" s="24"/>
    </row>
    <row r="337" ht="15.75" customHeight="1">
      <c r="B337" s="24"/>
      <c r="C337" s="24"/>
    </row>
    <row r="338" ht="15.75" customHeight="1">
      <c r="B338" s="24"/>
      <c r="C338" s="24"/>
    </row>
    <row r="339" ht="15.75" customHeight="1">
      <c r="B339" s="24"/>
      <c r="C339" s="24"/>
    </row>
    <row r="340" ht="15.75" customHeight="1">
      <c r="B340" s="24"/>
      <c r="C340" s="24"/>
    </row>
    <row r="341" ht="15.75" customHeight="1">
      <c r="B341" s="24"/>
      <c r="C341" s="24"/>
    </row>
    <row r="342" ht="15.75" customHeight="1">
      <c r="B342" s="24"/>
      <c r="C342" s="24"/>
    </row>
    <row r="343" ht="15.75" customHeight="1">
      <c r="B343" s="24"/>
      <c r="C343" s="24"/>
    </row>
    <row r="344" ht="15.75" customHeight="1">
      <c r="B344" s="24"/>
      <c r="C344" s="24"/>
    </row>
    <row r="345" ht="15.75" customHeight="1">
      <c r="B345" s="24"/>
      <c r="C345" s="24"/>
    </row>
    <row r="346" ht="15.75" customHeight="1">
      <c r="B346" s="24"/>
      <c r="C346" s="24"/>
    </row>
    <row r="347" ht="15.75" customHeight="1">
      <c r="B347" s="24"/>
      <c r="C347" s="24"/>
    </row>
    <row r="348" ht="15.75" customHeight="1">
      <c r="B348" s="24"/>
      <c r="C348" s="24"/>
    </row>
    <row r="349" ht="15.75" customHeight="1">
      <c r="B349" s="24"/>
      <c r="C349" s="24"/>
    </row>
    <row r="350" ht="15.75" customHeight="1">
      <c r="B350" s="24"/>
      <c r="C350" s="24"/>
    </row>
    <row r="351" ht="15.75" customHeight="1">
      <c r="B351" s="24"/>
      <c r="C351" s="24"/>
    </row>
    <row r="352" ht="15.75" customHeight="1">
      <c r="B352" s="24"/>
      <c r="C352" s="24"/>
    </row>
    <row r="353" ht="15.75" customHeight="1">
      <c r="B353" s="24"/>
      <c r="C353" s="24"/>
    </row>
    <row r="354" ht="15.75" customHeight="1">
      <c r="B354" s="24"/>
      <c r="C354" s="24"/>
    </row>
    <row r="355" ht="15.75" customHeight="1">
      <c r="B355" s="24"/>
      <c r="C355" s="24"/>
    </row>
    <row r="356" ht="15.75" customHeight="1">
      <c r="B356" s="24"/>
      <c r="C356" s="24"/>
    </row>
    <row r="357" ht="15.75" customHeight="1">
      <c r="B357" s="24"/>
      <c r="C357" s="24"/>
    </row>
    <row r="358" ht="15.75" customHeight="1">
      <c r="B358" s="24"/>
      <c r="C358" s="24"/>
    </row>
    <row r="359" ht="15.75" customHeight="1">
      <c r="B359" s="24"/>
      <c r="C359" s="24"/>
    </row>
    <row r="360" ht="15.75" customHeight="1">
      <c r="B360" s="24"/>
      <c r="C360" s="24"/>
    </row>
    <row r="361" ht="15.75" customHeight="1">
      <c r="B361" s="24"/>
      <c r="C361" s="24"/>
    </row>
    <row r="362" ht="15.75" customHeight="1">
      <c r="B362" s="24"/>
      <c r="C362" s="24"/>
    </row>
    <row r="363" ht="15.75" customHeight="1">
      <c r="B363" s="24"/>
      <c r="C363" s="24"/>
    </row>
    <row r="364" ht="15.75" customHeight="1">
      <c r="B364" s="24"/>
      <c r="C364" s="24"/>
    </row>
    <row r="365" ht="15.75" customHeight="1">
      <c r="B365" s="24"/>
      <c r="C365" s="24"/>
    </row>
    <row r="366" ht="15.75" customHeight="1">
      <c r="B366" s="24"/>
      <c r="C366" s="24"/>
    </row>
    <row r="367" ht="15.75" customHeight="1">
      <c r="B367" s="24"/>
      <c r="C367" s="24"/>
    </row>
    <row r="368" ht="15.75" customHeight="1">
      <c r="B368" s="24"/>
      <c r="C368" s="24"/>
    </row>
    <row r="369" ht="15.75" customHeight="1">
      <c r="B369" s="24"/>
      <c r="C369" s="24"/>
    </row>
    <row r="370" ht="15.75" customHeight="1">
      <c r="B370" s="24"/>
      <c r="C370" s="24"/>
    </row>
    <row r="371" ht="15.75" customHeight="1">
      <c r="B371" s="24"/>
      <c r="C371" s="24"/>
    </row>
    <row r="372" ht="15.75" customHeight="1">
      <c r="B372" s="24"/>
      <c r="C372" s="24"/>
    </row>
    <row r="373" ht="15.75" customHeight="1">
      <c r="B373" s="24"/>
      <c r="C373" s="24"/>
    </row>
    <row r="374" ht="15.75" customHeight="1">
      <c r="B374" s="24"/>
      <c r="C374" s="24"/>
    </row>
    <row r="375" ht="15.75" customHeight="1">
      <c r="B375" s="24"/>
      <c r="C375" s="24"/>
    </row>
    <row r="376" ht="15.75" customHeight="1">
      <c r="B376" s="24"/>
      <c r="C376" s="24"/>
    </row>
    <row r="377" ht="15.75" customHeight="1">
      <c r="B377" s="24"/>
      <c r="C377" s="24"/>
    </row>
    <row r="378" ht="15.75" customHeight="1">
      <c r="B378" s="24"/>
      <c r="C378" s="24"/>
    </row>
    <row r="379" ht="15.75" customHeight="1">
      <c r="B379" s="24"/>
      <c r="C379" s="24"/>
    </row>
    <row r="380" ht="15.75" customHeight="1">
      <c r="B380" s="24"/>
      <c r="C380" s="24"/>
    </row>
    <row r="381" ht="15.75" customHeight="1">
      <c r="B381" s="24"/>
      <c r="C381" s="24"/>
    </row>
    <row r="382" ht="15.75" customHeight="1">
      <c r="B382" s="24"/>
      <c r="C382" s="24"/>
    </row>
    <row r="383" ht="15.75" customHeight="1">
      <c r="B383" s="24"/>
      <c r="C383" s="24"/>
    </row>
    <row r="384" ht="15.75" customHeight="1">
      <c r="B384" s="24"/>
      <c r="C384" s="24"/>
    </row>
    <row r="385" ht="15.75" customHeight="1">
      <c r="B385" s="24"/>
      <c r="C385" s="24"/>
    </row>
    <row r="386" ht="15.75" customHeight="1">
      <c r="B386" s="24"/>
      <c r="C386" s="24"/>
    </row>
    <row r="387" ht="15.75" customHeight="1">
      <c r="B387" s="24"/>
      <c r="C387" s="24"/>
    </row>
    <row r="388" ht="15.75" customHeight="1">
      <c r="B388" s="24"/>
      <c r="C388" s="24"/>
    </row>
    <row r="389" ht="15.75" customHeight="1">
      <c r="B389" s="24"/>
      <c r="C389" s="24"/>
    </row>
    <row r="390" ht="15.75" customHeight="1">
      <c r="B390" s="24"/>
      <c r="C390" s="24"/>
    </row>
    <row r="391" ht="15.75" customHeight="1">
      <c r="B391" s="24"/>
      <c r="C391" s="24"/>
    </row>
    <row r="392" ht="15.75" customHeight="1">
      <c r="B392" s="24"/>
      <c r="C392" s="24"/>
    </row>
    <row r="393" ht="15.75" customHeight="1">
      <c r="B393" s="24"/>
      <c r="C393" s="24"/>
    </row>
    <row r="394" ht="15.75" customHeight="1">
      <c r="B394" s="24"/>
      <c r="C394" s="24"/>
    </row>
    <row r="395" ht="15.75" customHeight="1">
      <c r="B395" s="24"/>
      <c r="C395" s="24"/>
    </row>
    <row r="396" ht="15.75" customHeight="1">
      <c r="B396" s="24"/>
      <c r="C396" s="24"/>
    </row>
    <row r="397" ht="15.75" customHeight="1">
      <c r="B397" s="24"/>
      <c r="C397" s="24"/>
    </row>
    <row r="398" ht="15.75" customHeight="1">
      <c r="B398" s="24"/>
      <c r="C398" s="24"/>
    </row>
    <row r="399" ht="15.75" customHeight="1">
      <c r="B399" s="24"/>
      <c r="C399" s="24"/>
    </row>
    <row r="400" ht="15.75" customHeight="1">
      <c r="B400" s="24"/>
      <c r="C400" s="24"/>
    </row>
    <row r="401" ht="15.75" customHeight="1">
      <c r="B401" s="24"/>
      <c r="C401" s="24"/>
    </row>
    <row r="402" ht="15.75" customHeight="1">
      <c r="B402" s="24"/>
      <c r="C402" s="24"/>
    </row>
    <row r="403" ht="15.75" customHeight="1">
      <c r="B403" s="24"/>
      <c r="C403" s="24"/>
    </row>
    <row r="404" ht="15.75" customHeight="1">
      <c r="B404" s="24"/>
      <c r="C404" s="24"/>
    </row>
    <row r="405" ht="15.75" customHeight="1">
      <c r="B405" s="24"/>
      <c r="C405" s="24"/>
    </row>
    <row r="406" ht="15.75" customHeight="1">
      <c r="B406" s="24"/>
      <c r="C406" s="24"/>
    </row>
    <row r="407" ht="15.75" customHeight="1">
      <c r="B407" s="24"/>
      <c r="C407" s="24"/>
    </row>
    <row r="408" ht="15.75" customHeight="1">
      <c r="B408" s="24"/>
      <c r="C408" s="24"/>
    </row>
    <row r="409" ht="15.75" customHeight="1">
      <c r="B409" s="24"/>
      <c r="C409" s="24"/>
    </row>
    <row r="410" ht="15.75" customHeight="1">
      <c r="B410" s="24"/>
      <c r="C410" s="24"/>
    </row>
    <row r="411" ht="15.75" customHeight="1">
      <c r="B411" s="24"/>
      <c r="C411" s="24"/>
    </row>
    <row r="412" ht="15.75" customHeight="1">
      <c r="B412" s="24"/>
      <c r="C412" s="24"/>
    </row>
    <row r="413" ht="15.75" customHeight="1">
      <c r="B413" s="24"/>
      <c r="C413" s="24"/>
    </row>
    <row r="414" ht="15.75" customHeight="1">
      <c r="B414" s="24"/>
      <c r="C414" s="24"/>
    </row>
    <row r="415" ht="15.75" customHeight="1">
      <c r="B415" s="24"/>
      <c r="C415" s="24"/>
    </row>
    <row r="416" ht="15.75" customHeight="1">
      <c r="B416" s="24"/>
      <c r="C416" s="24"/>
    </row>
    <row r="417" ht="15.75" customHeight="1">
      <c r="B417" s="24"/>
      <c r="C417" s="24"/>
    </row>
    <row r="418" ht="15.75" customHeight="1">
      <c r="B418" s="24"/>
      <c r="C418" s="24"/>
    </row>
    <row r="419" ht="15.75" customHeight="1">
      <c r="B419" s="24"/>
      <c r="C419" s="24"/>
    </row>
    <row r="420" ht="15.75" customHeight="1">
      <c r="B420" s="24"/>
      <c r="C420" s="24"/>
    </row>
    <row r="421" ht="15.75" customHeight="1">
      <c r="B421" s="24"/>
      <c r="C421" s="24"/>
    </row>
    <row r="422" ht="15.75" customHeight="1">
      <c r="B422" s="24"/>
      <c r="C422" s="24"/>
    </row>
    <row r="423" ht="15.75" customHeight="1">
      <c r="B423" s="24"/>
      <c r="C423" s="24"/>
    </row>
    <row r="424" ht="15.75" customHeight="1">
      <c r="B424" s="24"/>
      <c r="C424" s="24"/>
    </row>
    <row r="425" ht="15.75" customHeight="1">
      <c r="B425" s="24"/>
      <c r="C425" s="24"/>
    </row>
    <row r="426" ht="15.75" customHeight="1">
      <c r="B426" s="24"/>
      <c r="C426" s="24"/>
    </row>
    <row r="427" ht="15.75" customHeight="1">
      <c r="B427" s="24"/>
      <c r="C427" s="24"/>
    </row>
    <row r="428" ht="15.75" customHeight="1">
      <c r="B428" s="24"/>
      <c r="C428" s="24"/>
    </row>
    <row r="429" ht="15.75" customHeight="1">
      <c r="B429" s="24"/>
      <c r="C429" s="24"/>
    </row>
    <row r="430" ht="15.75" customHeight="1">
      <c r="B430" s="24"/>
      <c r="C430" s="24"/>
    </row>
    <row r="431" ht="15.75" customHeight="1">
      <c r="B431" s="24"/>
      <c r="C431" s="24"/>
    </row>
    <row r="432" ht="15.75" customHeight="1">
      <c r="B432" s="24"/>
      <c r="C432" s="24"/>
    </row>
    <row r="433" ht="15.75" customHeight="1">
      <c r="B433" s="24"/>
      <c r="C433" s="24"/>
    </row>
    <row r="434" ht="15.75" customHeight="1">
      <c r="B434" s="24"/>
      <c r="C434" s="24"/>
    </row>
    <row r="435" ht="15.75" customHeight="1">
      <c r="B435" s="24"/>
      <c r="C435" s="24"/>
    </row>
    <row r="436" ht="15.75" customHeight="1">
      <c r="B436" s="24"/>
      <c r="C436" s="24"/>
    </row>
    <row r="437" ht="15.75" customHeight="1">
      <c r="B437" s="24"/>
      <c r="C437" s="24"/>
    </row>
    <row r="438" ht="15.75" customHeight="1">
      <c r="B438" s="24"/>
      <c r="C438" s="24"/>
    </row>
    <row r="439" ht="15.75" customHeight="1">
      <c r="B439" s="24"/>
      <c r="C439" s="24"/>
    </row>
    <row r="440" ht="15.75" customHeight="1">
      <c r="B440" s="24"/>
      <c r="C440" s="24"/>
    </row>
    <row r="441" ht="15.75" customHeight="1">
      <c r="B441" s="24"/>
      <c r="C441" s="24"/>
    </row>
    <row r="442" ht="15.75" customHeight="1">
      <c r="B442" s="24"/>
      <c r="C442" s="24"/>
    </row>
    <row r="443" ht="15.75" customHeight="1">
      <c r="B443" s="24"/>
      <c r="C443" s="24"/>
    </row>
    <row r="444" ht="15.75" customHeight="1">
      <c r="B444" s="24"/>
      <c r="C444" s="24"/>
    </row>
    <row r="445" ht="15.75" customHeight="1">
      <c r="B445" s="24"/>
      <c r="C445" s="24"/>
    </row>
    <row r="446" ht="15.75" customHeight="1">
      <c r="B446" s="24"/>
      <c r="C446" s="24"/>
    </row>
    <row r="447" ht="15.75" customHeight="1">
      <c r="B447" s="24"/>
      <c r="C447" s="24"/>
    </row>
    <row r="448" ht="15.75" customHeight="1">
      <c r="B448" s="24"/>
      <c r="C448" s="24"/>
    </row>
    <row r="449" ht="15.75" customHeight="1">
      <c r="B449" s="24"/>
      <c r="C449" s="24"/>
    </row>
    <row r="450" ht="15.75" customHeight="1">
      <c r="B450" s="24"/>
      <c r="C450" s="24"/>
    </row>
    <row r="451" ht="15.75" customHeight="1">
      <c r="B451" s="24"/>
      <c r="C451" s="24"/>
    </row>
    <row r="452" ht="15.75" customHeight="1">
      <c r="B452" s="24"/>
      <c r="C452" s="24"/>
    </row>
    <row r="453" ht="15.75" customHeight="1">
      <c r="B453" s="24"/>
      <c r="C453" s="24"/>
    </row>
    <row r="454" ht="15.75" customHeight="1">
      <c r="B454" s="24"/>
      <c r="C454" s="24"/>
    </row>
    <row r="455" ht="15.75" customHeight="1">
      <c r="B455" s="24"/>
      <c r="C455" s="24"/>
    </row>
    <row r="456" ht="15.75" customHeight="1">
      <c r="B456" s="24"/>
      <c r="C456" s="24"/>
    </row>
    <row r="457" ht="15.75" customHeight="1">
      <c r="B457" s="24"/>
      <c r="C457" s="24"/>
    </row>
    <row r="458" ht="15.75" customHeight="1">
      <c r="B458" s="24"/>
      <c r="C458" s="24"/>
    </row>
    <row r="459" ht="15.75" customHeight="1">
      <c r="B459" s="24"/>
      <c r="C459" s="24"/>
    </row>
    <row r="460" ht="15.75" customHeight="1">
      <c r="B460" s="24"/>
      <c r="C460" s="24"/>
    </row>
    <row r="461" ht="15.75" customHeight="1">
      <c r="B461" s="24"/>
      <c r="C461" s="24"/>
    </row>
    <row r="462" ht="15.75" customHeight="1">
      <c r="B462" s="24"/>
      <c r="C462" s="24"/>
    </row>
    <row r="463" ht="15.75" customHeight="1">
      <c r="B463" s="24"/>
      <c r="C463" s="24"/>
    </row>
    <row r="464" ht="15.75" customHeight="1">
      <c r="B464" s="24"/>
      <c r="C464" s="24"/>
    </row>
    <row r="465" ht="15.75" customHeight="1">
      <c r="B465" s="24"/>
      <c r="C465" s="24"/>
    </row>
    <row r="466" ht="15.75" customHeight="1">
      <c r="B466" s="24"/>
      <c r="C466" s="24"/>
    </row>
    <row r="467" ht="15.75" customHeight="1">
      <c r="B467" s="24"/>
      <c r="C467" s="24"/>
    </row>
    <row r="468" ht="15.75" customHeight="1">
      <c r="B468" s="24"/>
      <c r="C468" s="24"/>
    </row>
    <row r="469" ht="15.75" customHeight="1">
      <c r="B469" s="24"/>
      <c r="C469" s="24"/>
    </row>
    <row r="470" ht="15.75" customHeight="1">
      <c r="B470" s="24"/>
      <c r="C470" s="24"/>
    </row>
    <row r="471" ht="15.75" customHeight="1">
      <c r="B471" s="24"/>
      <c r="C471" s="24"/>
    </row>
    <row r="472" ht="15.75" customHeight="1">
      <c r="B472" s="24"/>
      <c r="C472" s="24"/>
    </row>
    <row r="473" ht="15.75" customHeight="1">
      <c r="B473" s="24"/>
      <c r="C473" s="24"/>
    </row>
    <row r="474" ht="15.75" customHeight="1">
      <c r="B474" s="24"/>
      <c r="C474" s="24"/>
    </row>
    <row r="475" ht="15.75" customHeight="1">
      <c r="B475" s="24"/>
      <c r="C475" s="24"/>
    </row>
    <row r="476" ht="15.75" customHeight="1">
      <c r="B476" s="24"/>
      <c r="C476" s="24"/>
    </row>
    <row r="477" ht="15.75" customHeight="1">
      <c r="B477" s="24"/>
      <c r="C477" s="24"/>
    </row>
    <row r="478" ht="15.75" customHeight="1">
      <c r="B478" s="24"/>
      <c r="C478" s="24"/>
    </row>
    <row r="479" ht="15.75" customHeight="1">
      <c r="B479" s="24"/>
      <c r="C479" s="24"/>
    </row>
    <row r="480" ht="15.75" customHeight="1">
      <c r="B480" s="24"/>
      <c r="C480" s="24"/>
    </row>
    <row r="481" ht="15.75" customHeight="1">
      <c r="B481" s="24"/>
      <c r="C481" s="24"/>
    </row>
    <row r="482" ht="15.75" customHeight="1">
      <c r="B482" s="24"/>
      <c r="C482" s="24"/>
    </row>
    <row r="483" ht="15.75" customHeight="1">
      <c r="B483" s="24"/>
      <c r="C483" s="24"/>
    </row>
    <row r="484" ht="15.75" customHeight="1">
      <c r="B484" s="24"/>
      <c r="C484" s="24"/>
    </row>
    <row r="485" ht="15.75" customHeight="1">
      <c r="B485" s="24"/>
      <c r="C485" s="24"/>
    </row>
    <row r="486" ht="15.75" customHeight="1">
      <c r="B486" s="24"/>
      <c r="C486" s="24"/>
    </row>
    <row r="487" ht="15.75" customHeight="1">
      <c r="B487" s="24"/>
      <c r="C487" s="24"/>
    </row>
    <row r="488" ht="15.75" customHeight="1">
      <c r="B488" s="24"/>
      <c r="C488" s="24"/>
    </row>
    <row r="489" ht="15.75" customHeight="1">
      <c r="B489" s="24"/>
      <c r="C489" s="24"/>
    </row>
    <row r="490" ht="15.75" customHeight="1">
      <c r="B490" s="24"/>
      <c r="C490" s="24"/>
    </row>
    <row r="491" ht="15.75" customHeight="1">
      <c r="B491" s="24"/>
      <c r="C491" s="24"/>
    </row>
    <row r="492" ht="15.75" customHeight="1">
      <c r="B492" s="24"/>
      <c r="C492" s="24"/>
    </row>
    <row r="493" ht="15.75" customHeight="1">
      <c r="B493" s="24"/>
      <c r="C493" s="24"/>
    </row>
    <row r="494" ht="15.75" customHeight="1">
      <c r="B494" s="24"/>
      <c r="C494" s="24"/>
    </row>
    <row r="495" ht="15.75" customHeight="1">
      <c r="B495" s="24"/>
      <c r="C495" s="24"/>
    </row>
    <row r="496" ht="15.75" customHeight="1">
      <c r="B496" s="24"/>
      <c r="C496" s="24"/>
    </row>
    <row r="497" ht="15.75" customHeight="1">
      <c r="B497" s="24"/>
      <c r="C497" s="24"/>
    </row>
    <row r="498" ht="15.75" customHeight="1">
      <c r="B498" s="24"/>
      <c r="C498" s="24"/>
    </row>
    <row r="499" ht="15.75" customHeight="1">
      <c r="B499" s="24"/>
      <c r="C499" s="24"/>
    </row>
    <row r="500" ht="15.75" customHeight="1">
      <c r="B500" s="24"/>
      <c r="C500" s="24"/>
    </row>
    <row r="501" ht="15.75" customHeight="1">
      <c r="B501" s="24"/>
      <c r="C501" s="24"/>
    </row>
    <row r="502" ht="15.75" customHeight="1">
      <c r="B502" s="24"/>
      <c r="C502" s="24"/>
    </row>
    <row r="503" ht="15.75" customHeight="1">
      <c r="B503" s="24"/>
      <c r="C503" s="24"/>
    </row>
    <row r="504" ht="15.75" customHeight="1">
      <c r="B504" s="24"/>
      <c r="C504" s="24"/>
    </row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qref="B5:B504">
      <formula1>"Channel 1,Channel 2,Channel 3"</formula1>
    </dataValidation>
    <dataValidation type="list" allowBlank="1" sqref="C5:C504">
      <formula1>"Output Shipped,Conversation Logged,Experiment Run,Post Published,Contribution Made,Outreach Sent,Research Documented,Review Completed,Decision Made,Other"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4.0"/>
    <col customWidth="1" min="3" max="3" width="30.0"/>
    <col customWidth="1" min="4" max="6" width="25.0"/>
    <col customWidth="1" min="7" max="26" width="8.71"/>
  </cols>
  <sheetData>
    <row r="1">
      <c r="A1" s="1" t="s">
        <v>84</v>
      </c>
    </row>
    <row r="2">
      <c r="A2" s="2" t="s">
        <v>85</v>
      </c>
    </row>
    <row r="4" ht="27.75" customHeight="1">
      <c r="A4" s="19" t="s">
        <v>37</v>
      </c>
      <c r="B4" s="19" t="s">
        <v>38</v>
      </c>
      <c r="C4" s="19" t="s">
        <v>86</v>
      </c>
      <c r="D4" s="19" t="s">
        <v>87</v>
      </c>
      <c r="E4" s="19" t="s">
        <v>88</v>
      </c>
      <c r="F4" s="19" t="s">
        <v>68</v>
      </c>
    </row>
    <row r="5">
      <c r="A5" s="25">
        <f>WEEKNUM(TODAY(),21)</f>
        <v>19</v>
      </c>
      <c r="B5" s="25">
        <f>YEAR(TODAY())</f>
        <v>2026</v>
      </c>
      <c r="C5" s="25" t="str">
        <f>TEXT(TODAY()-WEEKDAY(TODAY(),3),"mmm d") &amp; " – " &amp; TEXT(TODAY()-WEEKDAY(TODAY(),3)+6,"mmm d")</f>
        <v>May 4 – May 10</v>
      </c>
      <c r="D5" s="25">
        <f>SUM(Dashboard!B12:B14)</f>
        <v>0</v>
      </c>
      <c r="E5" s="25">
        <f>SUM(Dashboard!C12:C14)</f>
        <v>0</v>
      </c>
      <c r="F5" s="25" t="s">
        <v>89</v>
      </c>
    </row>
    <row r="8">
      <c r="A8" s="14" t="s">
        <v>90</v>
      </c>
      <c r="B8" s="9"/>
      <c r="C8" s="9"/>
      <c r="D8" s="9"/>
      <c r="E8" s="9"/>
      <c r="F8" s="10"/>
    </row>
    <row r="9" ht="33.75" customHeight="1">
      <c r="A9" s="26" t="s">
        <v>91</v>
      </c>
      <c r="C9" s="27"/>
      <c r="D9" s="9"/>
      <c r="E9" s="9"/>
      <c r="F9" s="10"/>
    </row>
    <row r="10" ht="33.75" customHeight="1">
      <c r="A10" s="26" t="s">
        <v>92</v>
      </c>
      <c r="C10" s="27"/>
      <c r="D10" s="9"/>
      <c r="E10" s="9"/>
      <c r="F10" s="10"/>
    </row>
    <row r="11" ht="33.75" customHeight="1">
      <c r="A11" s="26" t="s">
        <v>93</v>
      </c>
      <c r="C11" s="27"/>
      <c r="D11" s="9"/>
      <c r="E11" s="9"/>
      <c r="F11" s="10"/>
    </row>
    <row r="12" ht="33.75" customHeight="1">
      <c r="A12" s="26" t="s">
        <v>94</v>
      </c>
      <c r="C12" s="27"/>
      <c r="D12" s="9"/>
      <c r="E12" s="9"/>
      <c r="F12" s="10"/>
    </row>
    <row r="13" ht="33.75" customHeight="1">
      <c r="A13" s="26" t="s">
        <v>95</v>
      </c>
      <c r="C13" s="27"/>
      <c r="D13" s="9"/>
      <c r="E13" s="9"/>
      <c r="F13" s="10"/>
    </row>
    <row r="17">
      <c r="A17" s="14" t="s">
        <v>96</v>
      </c>
      <c r="B17" s="9"/>
      <c r="C17" s="9"/>
      <c r="D17" s="9"/>
      <c r="E17" s="9"/>
      <c r="F17" s="10"/>
    </row>
    <row r="18" ht="33.75" customHeight="1">
      <c r="A18" s="26" t="s">
        <v>91</v>
      </c>
      <c r="C18" s="27"/>
      <c r="D18" s="9"/>
      <c r="E18" s="9"/>
      <c r="F18" s="10"/>
    </row>
    <row r="19" ht="33.75" customHeight="1">
      <c r="A19" s="26" t="s">
        <v>92</v>
      </c>
      <c r="C19" s="27"/>
      <c r="D19" s="9"/>
      <c r="E19" s="9"/>
      <c r="F19" s="10"/>
    </row>
    <row r="20" ht="33.75" customHeight="1">
      <c r="A20" s="26" t="s">
        <v>93</v>
      </c>
      <c r="C20" s="27"/>
      <c r="D20" s="9"/>
      <c r="E20" s="9"/>
      <c r="F20" s="10"/>
    </row>
    <row r="21" ht="33.75" customHeight="1">
      <c r="A21" s="26" t="s">
        <v>94</v>
      </c>
      <c r="C21" s="27"/>
      <c r="D21" s="9"/>
      <c r="E21" s="9"/>
      <c r="F21" s="10"/>
    </row>
    <row r="22" ht="33.75" customHeight="1">
      <c r="A22" s="26" t="s">
        <v>95</v>
      </c>
      <c r="C22" s="27"/>
      <c r="D22" s="9"/>
      <c r="E22" s="9"/>
      <c r="F22" s="10"/>
    </row>
    <row r="23" ht="15.75" customHeight="1"/>
    <row r="24" ht="15.75" customHeight="1"/>
    <row r="25" ht="15.75" customHeight="1"/>
    <row r="26" ht="15.75" customHeight="1">
      <c r="A26" s="14" t="s">
        <v>97</v>
      </c>
      <c r="B26" s="9"/>
      <c r="C26" s="9"/>
      <c r="D26" s="9"/>
      <c r="E26" s="9"/>
      <c r="F26" s="10"/>
    </row>
    <row r="27" ht="33.75" customHeight="1">
      <c r="A27" s="26" t="s">
        <v>91</v>
      </c>
      <c r="C27" s="27"/>
      <c r="D27" s="9"/>
      <c r="E27" s="9"/>
      <c r="F27" s="10"/>
    </row>
    <row r="28" ht="33.75" customHeight="1">
      <c r="A28" s="26" t="s">
        <v>92</v>
      </c>
      <c r="C28" s="27"/>
      <c r="D28" s="9"/>
      <c r="E28" s="9"/>
      <c r="F28" s="10"/>
    </row>
    <row r="29" ht="33.75" customHeight="1">
      <c r="A29" s="26" t="s">
        <v>93</v>
      </c>
      <c r="C29" s="27"/>
      <c r="D29" s="9"/>
      <c r="E29" s="9"/>
      <c r="F29" s="10"/>
    </row>
    <row r="30" ht="33.75" customHeight="1">
      <c r="A30" s="26" t="s">
        <v>94</v>
      </c>
      <c r="C30" s="27"/>
      <c r="D30" s="9"/>
      <c r="E30" s="9"/>
      <c r="F30" s="10"/>
    </row>
    <row r="31" ht="33.75" customHeight="1">
      <c r="A31" s="26" t="s">
        <v>95</v>
      </c>
      <c r="C31" s="27"/>
      <c r="D31" s="9"/>
      <c r="E31" s="9"/>
      <c r="F31" s="10"/>
    </row>
    <row r="32" ht="15.75" customHeight="1"/>
    <row r="33" ht="15.75" customHeight="1"/>
    <row r="34" ht="15.75" customHeight="1"/>
    <row r="35" ht="15.75" customHeight="1"/>
    <row r="36" ht="15.75" customHeight="1">
      <c r="A36" s="17" t="s">
        <v>98</v>
      </c>
      <c r="B36" s="9"/>
      <c r="C36" s="9"/>
      <c r="D36" s="9"/>
      <c r="E36" s="9"/>
      <c r="F36" s="10"/>
    </row>
    <row r="37" ht="37.5" customHeight="1">
      <c r="A37" s="26" t="s">
        <v>99</v>
      </c>
      <c r="C37" s="28"/>
      <c r="D37" s="9"/>
      <c r="E37" s="9"/>
      <c r="F37" s="10"/>
    </row>
    <row r="38" ht="37.5" customHeight="1">
      <c r="A38" s="26" t="s">
        <v>100</v>
      </c>
      <c r="C38" s="28"/>
      <c r="D38" s="9"/>
      <c r="E38" s="9"/>
      <c r="F38" s="10"/>
    </row>
    <row r="39" ht="37.5" customHeight="1">
      <c r="A39" s="26" t="s">
        <v>101</v>
      </c>
      <c r="C39" s="28"/>
      <c r="D39" s="9"/>
      <c r="E39" s="9"/>
      <c r="F39" s="1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F1"/>
    <mergeCell ref="A2:F2"/>
    <mergeCell ref="A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7:F17"/>
    <mergeCell ref="A21:B21"/>
    <mergeCell ref="A22:B22"/>
    <mergeCell ref="A18:B18"/>
    <mergeCell ref="C18:F18"/>
    <mergeCell ref="A19:B19"/>
    <mergeCell ref="C19:F19"/>
    <mergeCell ref="A20:B20"/>
    <mergeCell ref="C20:F20"/>
    <mergeCell ref="C21:F21"/>
    <mergeCell ref="A29:B29"/>
    <mergeCell ref="A30:B30"/>
    <mergeCell ref="A31:B31"/>
    <mergeCell ref="C22:F22"/>
    <mergeCell ref="A26:F26"/>
    <mergeCell ref="A27:B27"/>
    <mergeCell ref="C27:F27"/>
    <mergeCell ref="A28:B28"/>
    <mergeCell ref="C28:F28"/>
    <mergeCell ref="C29:F29"/>
    <mergeCell ref="A39:B39"/>
    <mergeCell ref="C39:F39"/>
    <mergeCell ref="C30:F30"/>
    <mergeCell ref="C31:F31"/>
    <mergeCell ref="A36:F36"/>
    <mergeCell ref="A37:B37"/>
    <mergeCell ref="C37:F37"/>
    <mergeCell ref="A38:B38"/>
    <mergeCell ref="C38:F3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4" width="14.0"/>
    <col customWidth="1" min="5" max="5" width="10.0"/>
    <col customWidth="1" min="6" max="6" width="28.0"/>
    <col customWidth="1" min="7" max="7" width="20.0"/>
    <col customWidth="1" min="8" max="26" width="8.71"/>
  </cols>
  <sheetData>
    <row r="1">
      <c r="A1" s="1" t="s">
        <v>102</v>
      </c>
    </row>
    <row r="2" ht="31.5" customHeight="1">
      <c r="A2" s="2" t="s">
        <v>103</v>
      </c>
    </row>
    <row r="4">
      <c r="A4" s="8" t="s">
        <v>44</v>
      </c>
      <c r="B4" s="9"/>
      <c r="C4" s="9"/>
      <c r="D4" s="9"/>
      <c r="E4" s="9"/>
      <c r="F4" s="9"/>
      <c r="G4" s="10"/>
    </row>
    <row r="5">
      <c r="A5" s="29" t="s">
        <v>104</v>
      </c>
      <c r="B5" s="9"/>
      <c r="C5" s="9"/>
      <c r="D5" s="9"/>
      <c r="E5" s="9"/>
      <c r="F5" s="9"/>
      <c r="G5" s="10"/>
    </row>
    <row r="6">
      <c r="A6" s="16" t="s">
        <v>105</v>
      </c>
      <c r="B6" s="16" t="s">
        <v>63</v>
      </c>
      <c r="C6" s="16" t="s">
        <v>106</v>
      </c>
      <c r="D6" s="16" t="s">
        <v>107</v>
      </c>
      <c r="E6" s="16" t="s">
        <v>108</v>
      </c>
      <c r="F6" s="16" t="s">
        <v>109</v>
      </c>
      <c r="G6" s="16" t="s">
        <v>110</v>
      </c>
    </row>
    <row r="7">
      <c r="A7" s="30" t="s">
        <v>111</v>
      </c>
      <c r="B7" s="31" t="s">
        <v>112</v>
      </c>
      <c r="C7" s="31"/>
      <c r="D7" s="31"/>
      <c r="E7" s="31">
        <f t="shared" ref="E7:E10" si="1">IFERROR(D7-C7,"")</f>
        <v>0</v>
      </c>
      <c r="F7" s="30"/>
      <c r="G7" s="30"/>
    </row>
    <row r="8">
      <c r="A8" s="30" t="s">
        <v>113</v>
      </c>
      <c r="B8" s="31" t="s">
        <v>112</v>
      </c>
      <c r="C8" s="31"/>
      <c r="D8" s="31"/>
      <c r="E8" s="31">
        <f t="shared" si="1"/>
        <v>0</v>
      </c>
      <c r="F8" s="30"/>
      <c r="G8" s="30"/>
    </row>
    <row r="9">
      <c r="A9" s="30" t="s">
        <v>114</v>
      </c>
      <c r="B9" s="31" t="s">
        <v>112</v>
      </c>
      <c r="C9" s="31"/>
      <c r="D9" s="31"/>
      <c r="E9" s="31">
        <f t="shared" si="1"/>
        <v>0</v>
      </c>
      <c r="F9" s="30"/>
      <c r="G9" s="30"/>
    </row>
    <row r="10">
      <c r="A10" s="30" t="s">
        <v>115</v>
      </c>
      <c r="B10" s="31" t="s">
        <v>116</v>
      </c>
      <c r="C10" s="31"/>
      <c r="D10" s="31"/>
      <c r="E10" s="31">
        <f t="shared" si="1"/>
        <v>0</v>
      </c>
      <c r="F10" s="30"/>
      <c r="G10" s="30"/>
    </row>
    <row r="11">
      <c r="A11" s="32" t="s">
        <v>117</v>
      </c>
      <c r="B11" s="9"/>
      <c r="C11" s="9"/>
      <c r="D11" s="9"/>
      <c r="E11" s="9"/>
      <c r="F11" s="9"/>
      <c r="G11" s="10"/>
    </row>
    <row r="12">
      <c r="A12" s="18" t="s">
        <v>105</v>
      </c>
      <c r="B12" s="18" t="s">
        <v>63</v>
      </c>
      <c r="C12" s="18" t="s">
        <v>106</v>
      </c>
      <c r="D12" s="18" t="s">
        <v>107</v>
      </c>
      <c r="E12" s="18" t="s">
        <v>108</v>
      </c>
      <c r="F12" s="18" t="s">
        <v>109</v>
      </c>
      <c r="G12" s="18" t="s">
        <v>110</v>
      </c>
    </row>
    <row r="13">
      <c r="A13" s="30" t="s">
        <v>118</v>
      </c>
      <c r="B13" s="31" t="s">
        <v>119</v>
      </c>
      <c r="C13" s="31"/>
      <c r="D13" s="31"/>
      <c r="E13" s="31">
        <f t="shared" ref="E13:E16" si="2">IFERROR(D13-C13,"")</f>
        <v>0</v>
      </c>
      <c r="F13" s="30"/>
      <c r="G13" s="30"/>
    </row>
    <row r="14">
      <c r="A14" s="30" t="s">
        <v>120</v>
      </c>
      <c r="B14" s="31" t="s">
        <v>112</v>
      </c>
      <c r="C14" s="31"/>
      <c r="D14" s="31"/>
      <c r="E14" s="31">
        <f t="shared" si="2"/>
        <v>0</v>
      </c>
      <c r="F14" s="30"/>
      <c r="G14" s="30"/>
    </row>
    <row r="15">
      <c r="A15" s="30" t="s">
        <v>121</v>
      </c>
      <c r="B15" s="31" t="s">
        <v>116</v>
      </c>
      <c r="C15" s="31"/>
      <c r="D15" s="31"/>
      <c r="E15" s="31">
        <f t="shared" si="2"/>
        <v>0</v>
      </c>
      <c r="F15" s="30"/>
      <c r="G15" s="30"/>
    </row>
    <row r="16">
      <c r="A16" s="30" t="s">
        <v>122</v>
      </c>
      <c r="B16" s="31" t="s">
        <v>112</v>
      </c>
      <c r="C16" s="31"/>
      <c r="D16" s="31"/>
      <c r="E16" s="31">
        <f t="shared" si="2"/>
        <v>0</v>
      </c>
      <c r="F16" s="30"/>
      <c r="G16" s="30"/>
    </row>
    <row r="17">
      <c r="A17" s="33" t="s">
        <v>123</v>
      </c>
      <c r="B17" s="9"/>
      <c r="C17" s="9"/>
      <c r="D17" s="9"/>
      <c r="E17" s="9"/>
      <c r="F17" s="9"/>
      <c r="G17" s="10"/>
    </row>
    <row r="18" ht="15.0" customHeight="1">
      <c r="A18" s="34" t="s">
        <v>124</v>
      </c>
      <c r="B18" s="34" t="s">
        <v>125</v>
      </c>
      <c r="C18" s="34" t="s">
        <v>126</v>
      </c>
      <c r="D18" s="35" t="s">
        <v>68</v>
      </c>
      <c r="E18" s="36"/>
      <c r="F18" s="36"/>
      <c r="G18" s="5"/>
    </row>
    <row r="19">
      <c r="A19" s="30" t="s">
        <v>127</v>
      </c>
      <c r="B19" s="37" t="s">
        <v>128</v>
      </c>
      <c r="C19" s="37"/>
      <c r="D19" s="38"/>
      <c r="E19" s="36"/>
      <c r="F19" s="36"/>
      <c r="G19" s="5"/>
    </row>
    <row r="20">
      <c r="A20" s="30" t="s">
        <v>129</v>
      </c>
      <c r="B20" s="37" t="s">
        <v>128</v>
      </c>
      <c r="C20" s="37"/>
      <c r="D20" s="38"/>
      <c r="E20" s="36"/>
      <c r="F20" s="36"/>
      <c r="G20" s="5"/>
    </row>
    <row r="21" ht="15.75" customHeight="1">
      <c r="A21" s="30" t="s">
        <v>130</v>
      </c>
      <c r="B21" s="37" t="s">
        <v>128</v>
      </c>
      <c r="C21" s="37"/>
      <c r="D21" s="38"/>
      <c r="E21" s="36"/>
      <c r="F21" s="36"/>
      <c r="G21" s="5"/>
    </row>
    <row r="22" ht="15.75" customHeight="1">
      <c r="A22" s="30" t="s">
        <v>131</v>
      </c>
      <c r="B22" s="37" t="s">
        <v>128</v>
      </c>
      <c r="C22" s="37"/>
      <c r="D22" s="38"/>
      <c r="E22" s="36"/>
      <c r="F22" s="36"/>
      <c r="G22" s="5"/>
    </row>
    <row r="23" ht="15.75" customHeight="1"/>
    <row r="24" ht="15.75" customHeight="1"/>
    <row r="25" ht="15.75" customHeight="1">
      <c r="A25" s="8" t="s">
        <v>45</v>
      </c>
      <c r="B25" s="9"/>
      <c r="C25" s="9"/>
      <c r="D25" s="9"/>
      <c r="E25" s="9"/>
      <c r="F25" s="9"/>
      <c r="G25" s="10"/>
    </row>
    <row r="26" ht="15.75" customHeight="1">
      <c r="A26" s="29" t="s">
        <v>104</v>
      </c>
      <c r="B26" s="9"/>
      <c r="C26" s="9"/>
      <c r="D26" s="9"/>
      <c r="E26" s="9"/>
      <c r="F26" s="9"/>
      <c r="G26" s="10"/>
    </row>
    <row r="27" ht="15.75" customHeight="1">
      <c r="A27" s="16" t="s">
        <v>105</v>
      </c>
      <c r="B27" s="16" t="s">
        <v>63</v>
      </c>
      <c r="C27" s="16" t="s">
        <v>106</v>
      </c>
      <c r="D27" s="16" t="s">
        <v>107</v>
      </c>
      <c r="E27" s="16" t="s">
        <v>108</v>
      </c>
      <c r="F27" s="16" t="s">
        <v>109</v>
      </c>
      <c r="G27" s="16" t="s">
        <v>110</v>
      </c>
    </row>
    <row r="28" ht="15.75" customHeight="1">
      <c r="A28" s="30" t="s">
        <v>111</v>
      </c>
      <c r="B28" s="31" t="s">
        <v>112</v>
      </c>
      <c r="C28" s="31"/>
      <c r="D28" s="31"/>
      <c r="E28" s="31">
        <f t="shared" ref="E28:E31" si="3">IFERROR(D28-C28,"")</f>
        <v>0</v>
      </c>
      <c r="F28" s="30"/>
      <c r="G28" s="30"/>
    </row>
    <row r="29" ht="15.75" customHeight="1">
      <c r="A29" s="30" t="s">
        <v>113</v>
      </c>
      <c r="B29" s="31" t="s">
        <v>112</v>
      </c>
      <c r="C29" s="31"/>
      <c r="D29" s="31"/>
      <c r="E29" s="31">
        <f t="shared" si="3"/>
        <v>0</v>
      </c>
      <c r="F29" s="30"/>
      <c r="G29" s="30"/>
    </row>
    <row r="30" ht="15.75" customHeight="1">
      <c r="A30" s="30" t="s">
        <v>114</v>
      </c>
      <c r="B30" s="31" t="s">
        <v>112</v>
      </c>
      <c r="C30" s="31"/>
      <c r="D30" s="31"/>
      <c r="E30" s="31">
        <f t="shared" si="3"/>
        <v>0</v>
      </c>
      <c r="F30" s="30"/>
      <c r="G30" s="30"/>
    </row>
    <row r="31" ht="15.75" customHeight="1">
      <c r="A31" s="30" t="s">
        <v>115</v>
      </c>
      <c r="B31" s="31" t="s">
        <v>116</v>
      </c>
      <c r="C31" s="31"/>
      <c r="D31" s="31"/>
      <c r="E31" s="31">
        <f t="shared" si="3"/>
        <v>0</v>
      </c>
      <c r="F31" s="30"/>
      <c r="G31" s="30"/>
    </row>
    <row r="32" ht="15.75" customHeight="1">
      <c r="A32" s="32" t="s">
        <v>117</v>
      </c>
      <c r="B32" s="9"/>
      <c r="C32" s="9"/>
      <c r="D32" s="9"/>
      <c r="E32" s="9"/>
      <c r="F32" s="9"/>
      <c r="G32" s="10"/>
    </row>
    <row r="33" ht="15.75" customHeight="1">
      <c r="A33" s="18" t="s">
        <v>105</v>
      </c>
      <c r="B33" s="18" t="s">
        <v>63</v>
      </c>
      <c r="C33" s="18" t="s">
        <v>106</v>
      </c>
      <c r="D33" s="18" t="s">
        <v>107</v>
      </c>
      <c r="E33" s="18" t="s">
        <v>108</v>
      </c>
      <c r="F33" s="18" t="s">
        <v>109</v>
      </c>
      <c r="G33" s="18" t="s">
        <v>110</v>
      </c>
    </row>
    <row r="34" ht="15.75" customHeight="1">
      <c r="A34" s="30" t="s">
        <v>118</v>
      </c>
      <c r="B34" s="31" t="s">
        <v>119</v>
      </c>
      <c r="C34" s="31"/>
      <c r="D34" s="31"/>
      <c r="E34" s="31">
        <f t="shared" ref="E34:E37" si="4">IFERROR(D34-C34,"")</f>
        <v>0</v>
      </c>
      <c r="F34" s="30"/>
      <c r="G34" s="30"/>
    </row>
    <row r="35" ht="15.75" customHeight="1">
      <c r="A35" s="30" t="s">
        <v>120</v>
      </c>
      <c r="B35" s="31" t="s">
        <v>112</v>
      </c>
      <c r="C35" s="31"/>
      <c r="D35" s="31"/>
      <c r="E35" s="31">
        <f t="shared" si="4"/>
        <v>0</v>
      </c>
      <c r="F35" s="30"/>
      <c r="G35" s="30"/>
    </row>
    <row r="36" ht="15.75" customHeight="1">
      <c r="A36" s="30" t="s">
        <v>121</v>
      </c>
      <c r="B36" s="31" t="s">
        <v>116</v>
      </c>
      <c r="C36" s="31"/>
      <c r="D36" s="31"/>
      <c r="E36" s="31">
        <f t="shared" si="4"/>
        <v>0</v>
      </c>
      <c r="F36" s="30"/>
      <c r="G36" s="30"/>
    </row>
    <row r="37" ht="15.75" customHeight="1">
      <c r="A37" s="30" t="s">
        <v>122</v>
      </c>
      <c r="B37" s="31" t="s">
        <v>112</v>
      </c>
      <c r="C37" s="31"/>
      <c r="D37" s="31"/>
      <c r="E37" s="31">
        <f t="shared" si="4"/>
        <v>0</v>
      </c>
      <c r="F37" s="30"/>
      <c r="G37" s="30"/>
    </row>
    <row r="38" ht="15.75" customHeight="1">
      <c r="A38" s="33" t="s">
        <v>123</v>
      </c>
      <c r="B38" s="9"/>
      <c r="C38" s="9"/>
      <c r="D38" s="9"/>
      <c r="E38" s="9"/>
      <c r="F38" s="9"/>
      <c r="G38" s="10"/>
    </row>
    <row r="39" ht="15.0" customHeight="1">
      <c r="A39" s="34" t="s">
        <v>124</v>
      </c>
      <c r="B39" s="34" t="s">
        <v>125</v>
      </c>
      <c r="C39" s="34" t="s">
        <v>126</v>
      </c>
      <c r="D39" s="35" t="s">
        <v>68</v>
      </c>
      <c r="E39" s="36"/>
      <c r="F39" s="36"/>
      <c r="G39" s="5"/>
    </row>
    <row r="40" ht="15.75" customHeight="1">
      <c r="A40" s="30" t="s">
        <v>127</v>
      </c>
      <c r="B40" s="37" t="s">
        <v>128</v>
      </c>
      <c r="C40" s="37"/>
      <c r="D40" s="38"/>
      <c r="E40" s="36"/>
      <c r="F40" s="36"/>
      <c r="G40" s="5"/>
    </row>
    <row r="41" ht="15.75" customHeight="1">
      <c r="A41" s="30" t="s">
        <v>129</v>
      </c>
      <c r="B41" s="37" t="s">
        <v>128</v>
      </c>
      <c r="C41" s="37"/>
      <c r="D41" s="38"/>
      <c r="E41" s="36"/>
      <c r="F41" s="36"/>
      <c r="G41" s="5"/>
    </row>
    <row r="42" ht="15.75" customHeight="1">
      <c r="A42" s="30" t="s">
        <v>130</v>
      </c>
      <c r="B42" s="37" t="s">
        <v>128</v>
      </c>
      <c r="C42" s="37"/>
      <c r="D42" s="38"/>
      <c r="E42" s="36"/>
      <c r="F42" s="36"/>
      <c r="G42" s="5"/>
    </row>
    <row r="43" ht="15.75" customHeight="1">
      <c r="A43" s="30" t="s">
        <v>131</v>
      </c>
      <c r="B43" s="37" t="s">
        <v>128</v>
      </c>
      <c r="C43" s="37"/>
      <c r="D43" s="38"/>
      <c r="E43" s="36"/>
      <c r="F43" s="36"/>
      <c r="G43" s="5"/>
    </row>
    <row r="44" ht="15.75" customHeight="1"/>
    <row r="45" ht="15.75" customHeight="1"/>
    <row r="46" ht="15.75" customHeight="1">
      <c r="A46" s="8" t="s">
        <v>46</v>
      </c>
      <c r="B46" s="9"/>
      <c r="C46" s="9"/>
      <c r="D46" s="9"/>
      <c r="E46" s="9"/>
      <c r="F46" s="9"/>
      <c r="G46" s="10"/>
    </row>
    <row r="47" ht="15.75" customHeight="1">
      <c r="A47" s="29" t="s">
        <v>104</v>
      </c>
      <c r="B47" s="9"/>
      <c r="C47" s="9"/>
      <c r="D47" s="9"/>
      <c r="E47" s="9"/>
      <c r="F47" s="9"/>
      <c r="G47" s="10"/>
    </row>
    <row r="48" ht="15.75" customHeight="1">
      <c r="A48" s="16" t="s">
        <v>105</v>
      </c>
      <c r="B48" s="16" t="s">
        <v>63</v>
      </c>
      <c r="C48" s="16" t="s">
        <v>106</v>
      </c>
      <c r="D48" s="16" t="s">
        <v>107</v>
      </c>
      <c r="E48" s="16" t="s">
        <v>108</v>
      </c>
      <c r="F48" s="16" t="s">
        <v>109</v>
      </c>
      <c r="G48" s="16" t="s">
        <v>110</v>
      </c>
    </row>
    <row r="49" ht="15.75" customHeight="1">
      <c r="A49" s="30" t="s">
        <v>111</v>
      </c>
      <c r="B49" s="31" t="s">
        <v>112</v>
      </c>
      <c r="C49" s="31"/>
      <c r="D49" s="31"/>
      <c r="E49" s="31">
        <f t="shared" ref="E49:E52" si="5">IFERROR(D49-C49,"")</f>
        <v>0</v>
      </c>
      <c r="F49" s="30"/>
      <c r="G49" s="30"/>
    </row>
    <row r="50" ht="15.75" customHeight="1">
      <c r="A50" s="30" t="s">
        <v>113</v>
      </c>
      <c r="B50" s="31" t="s">
        <v>112</v>
      </c>
      <c r="C50" s="31"/>
      <c r="D50" s="31"/>
      <c r="E50" s="31">
        <f t="shared" si="5"/>
        <v>0</v>
      </c>
      <c r="F50" s="30"/>
      <c r="G50" s="30"/>
    </row>
    <row r="51" ht="15.75" customHeight="1">
      <c r="A51" s="30" t="s">
        <v>114</v>
      </c>
      <c r="B51" s="31" t="s">
        <v>112</v>
      </c>
      <c r="C51" s="31"/>
      <c r="D51" s="31"/>
      <c r="E51" s="31">
        <f t="shared" si="5"/>
        <v>0</v>
      </c>
      <c r="F51" s="30"/>
      <c r="G51" s="30"/>
    </row>
    <row r="52" ht="15.75" customHeight="1">
      <c r="A52" s="30" t="s">
        <v>115</v>
      </c>
      <c r="B52" s="31" t="s">
        <v>116</v>
      </c>
      <c r="C52" s="31"/>
      <c r="D52" s="31"/>
      <c r="E52" s="31">
        <f t="shared" si="5"/>
        <v>0</v>
      </c>
      <c r="F52" s="30"/>
      <c r="G52" s="30"/>
    </row>
    <row r="53" ht="15.75" customHeight="1">
      <c r="A53" s="32" t="s">
        <v>117</v>
      </c>
      <c r="B53" s="9"/>
      <c r="C53" s="9"/>
      <c r="D53" s="9"/>
      <c r="E53" s="9"/>
      <c r="F53" s="9"/>
      <c r="G53" s="10"/>
    </row>
    <row r="54" ht="15.75" customHeight="1">
      <c r="A54" s="18" t="s">
        <v>105</v>
      </c>
      <c r="B54" s="18" t="s">
        <v>63</v>
      </c>
      <c r="C54" s="18" t="s">
        <v>106</v>
      </c>
      <c r="D54" s="18" t="s">
        <v>107</v>
      </c>
      <c r="E54" s="18" t="s">
        <v>108</v>
      </c>
      <c r="F54" s="18" t="s">
        <v>109</v>
      </c>
      <c r="G54" s="18" t="s">
        <v>110</v>
      </c>
    </row>
    <row r="55" ht="15.75" customHeight="1">
      <c r="A55" s="30" t="s">
        <v>118</v>
      </c>
      <c r="B55" s="31" t="s">
        <v>119</v>
      </c>
      <c r="C55" s="31"/>
      <c r="D55" s="31"/>
      <c r="E55" s="31">
        <f t="shared" ref="E55:E58" si="6">IFERROR(D55-C55,"")</f>
        <v>0</v>
      </c>
      <c r="F55" s="30"/>
      <c r="G55" s="30"/>
    </row>
    <row r="56" ht="15.75" customHeight="1">
      <c r="A56" s="30" t="s">
        <v>120</v>
      </c>
      <c r="B56" s="31" t="s">
        <v>112</v>
      </c>
      <c r="C56" s="31"/>
      <c r="D56" s="31"/>
      <c r="E56" s="31">
        <f t="shared" si="6"/>
        <v>0</v>
      </c>
      <c r="F56" s="30"/>
      <c r="G56" s="30"/>
    </row>
    <row r="57" ht="15.75" customHeight="1">
      <c r="A57" s="30" t="s">
        <v>121</v>
      </c>
      <c r="B57" s="31" t="s">
        <v>116</v>
      </c>
      <c r="C57" s="31"/>
      <c r="D57" s="31"/>
      <c r="E57" s="31">
        <f t="shared" si="6"/>
        <v>0</v>
      </c>
      <c r="F57" s="30"/>
      <c r="G57" s="30"/>
    </row>
    <row r="58" ht="15.75" customHeight="1">
      <c r="A58" s="30" t="s">
        <v>122</v>
      </c>
      <c r="B58" s="31" t="s">
        <v>112</v>
      </c>
      <c r="C58" s="31"/>
      <c r="D58" s="31"/>
      <c r="E58" s="31">
        <f t="shared" si="6"/>
        <v>0</v>
      </c>
      <c r="F58" s="30"/>
      <c r="G58" s="30"/>
    </row>
    <row r="59" ht="15.75" customHeight="1">
      <c r="A59" s="33" t="s">
        <v>123</v>
      </c>
      <c r="B59" s="9"/>
      <c r="C59" s="9"/>
      <c r="D59" s="9"/>
      <c r="E59" s="9"/>
      <c r="F59" s="9"/>
      <c r="G59" s="10"/>
    </row>
    <row r="60" ht="15.0" customHeight="1">
      <c r="A60" s="34" t="s">
        <v>124</v>
      </c>
      <c r="B60" s="34" t="s">
        <v>125</v>
      </c>
      <c r="C60" s="34" t="s">
        <v>126</v>
      </c>
      <c r="D60" s="35" t="s">
        <v>68</v>
      </c>
      <c r="E60" s="36"/>
      <c r="F60" s="36"/>
      <c r="G60" s="5"/>
    </row>
    <row r="61" ht="15.75" customHeight="1">
      <c r="A61" s="30" t="s">
        <v>127</v>
      </c>
      <c r="B61" s="37" t="s">
        <v>128</v>
      </c>
      <c r="C61" s="37"/>
      <c r="D61" s="38"/>
      <c r="E61" s="36"/>
      <c r="F61" s="36"/>
      <c r="G61" s="5"/>
    </row>
    <row r="62" ht="15.75" customHeight="1">
      <c r="A62" s="30" t="s">
        <v>129</v>
      </c>
      <c r="B62" s="37" t="s">
        <v>128</v>
      </c>
      <c r="C62" s="37"/>
      <c r="D62" s="38"/>
      <c r="E62" s="36"/>
      <c r="F62" s="36"/>
      <c r="G62" s="5"/>
    </row>
    <row r="63" ht="15.75" customHeight="1">
      <c r="A63" s="30" t="s">
        <v>130</v>
      </c>
      <c r="B63" s="37" t="s">
        <v>128</v>
      </c>
      <c r="C63" s="37"/>
      <c r="D63" s="38"/>
      <c r="E63" s="36"/>
      <c r="F63" s="36"/>
      <c r="G63" s="5"/>
    </row>
    <row r="64" ht="15.75" customHeight="1">
      <c r="A64" s="30" t="s">
        <v>131</v>
      </c>
      <c r="B64" s="37" t="s">
        <v>128</v>
      </c>
      <c r="C64" s="37"/>
      <c r="D64" s="38"/>
      <c r="E64" s="36"/>
      <c r="F64" s="36"/>
      <c r="G64" s="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G1"/>
    <mergeCell ref="A2:G2"/>
    <mergeCell ref="A4:G4"/>
    <mergeCell ref="A5:G5"/>
    <mergeCell ref="A11:G11"/>
    <mergeCell ref="A17:G17"/>
    <mergeCell ref="D18:G18"/>
    <mergeCell ref="D19:G19"/>
    <mergeCell ref="D20:G20"/>
    <mergeCell ref="D21:G21"/>
    <mergeCell ref="D22:G22"/>
    <mergeCell ref="A25:G25"/>
    <mergeCell ref="A26:G26"/>
    <mergeCell ref="A32:G32"/>
    <mergeCell ref="A47:G47"/>
    <mergeCell ref="A53:G53"/>
    <mergeCell ref="A59:G59"/>
    <mergeCell ref="D60:G60"/>
    <mergeCell ref="D61:G61"/>
    <mergeCell ref="D62:G62"/>
    <mergeCell ref="D63:G63"/>
    <mergeCell ref="D64:G64"/>
    <mergeCell ref="A38:G38"/>
    <mergeCell ref="D39:G39"/>
    <mergeCell ref="D40:G40"/>
    <mergeCell ref="D41:G41"/>
    <mergeCell ref="D42:G42"/>
    <mergeCell ref="D43:G43"/>
    <mergeCell ref="A46:G46"/>
  </mergeCells>
  <dataValidations>
    <dataValidation type="list" allowBlank="1" sqref="B19:B22 B40:B43 B61:B64">
      <formula1>"No,Yes"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14.0"/>
    <col customWidth="1" min="4" max="4" width="28.0"/>
    <col customWidth="1" min="5" max="6" width="14.0"/>
    <col customWidth="1" min="7" max="26" width="8.71"/>
  </cols>
  <sheetData>
    <row r="1">
      <c r="A1" s="1" t="s">
        <v>132</v>
      </c>
    </row>
    <row r="2" ht="31.5" customHeight="1">
      <c r="A2" s="2" t="s">
        <v>133</v>
      </c>
    </row>
    <row r="4">
      <c r="A4" s="8" t="s">
        <v>134</v>
      </c>
      <c r="B4" s="9"/>
      <c r="C4" s="9"/>
      <c r="D4" s="9"/>
      <c r="E4" s="9"/>
      <c r="F4" s="10"/>
    </row>
    <row r="5">
      <c r="A5" s="19" t="s">
        <v>48</v>
      </c>
      <c r="B5" s="19" t="s">
        <v>135</v>
      </c>
      <c r="C5" s="19" t="s">
        <v>136</v>
      </c>
      <c r="D5" s="19" t="s">
        <v>137</v>
      </c>
      <c r="E5" s="19" t="s">
        <v>138</v>
      </c>
      <c r="F5" s="19" t="s">
        <v>68</v>
      </c>
    </row>
    <row r="6">
      <c r="A6" s="39" t="s">
        <v>139</v>
      </c>
      <c r="B6" s="30" t="s">
        <v>140</v>
      </c>
      <c r="C6" s="31">
        <v>30.0</v>
      </c>
      <c r="D6" s="31">
        <v>0.0</v>
      </c>
      <c r="E6" s="31"/>
      <c r="F6" s="30" t="s">
        <v>141</v>
      </c>
    </row>
    <row r="7">
      <c r="A7" s="39" t="s">
        <v>139</v>
      </c>
      <c r="B7" s="30" t="s">
        <v>142</v>
      </c>
      <c r="C7" s="31">
        <v>50.0</v>
      </c>
      <c r="D7" s="31">
        <v>0.0</v>
      </c>
      <c r="E7" s="31"/>
      <c r="F7" s="30"/>
    </row>
    <row r="8">
      <c r="A8" s="39" t="s">
        <v>139</v>
      </c>
      <c r="B8" s="30" t="s">
        <v>143</v>
      </c>
      <c r="C8" s="31">
        <v>100.0</v>
      </c>
      <c r="D8" s="31">
        <v>0.0</v>
      </c>
      <c r="E8" s="31"/>
      <c r="F8" s="30"/>
    </row>
    <row r="9">
      <c r="A9" s="39" t="s">
        <v>139</v>
      </c>
      <c r="B9" s="30" t="s">
        <v>144</v>
      </c>
      <c r="C9" s="31">
        <v>150.0</v>
      </c>
      <c r="D9" s="31">
        <v>0.0</v>
      </c>
      <c r="E9" s="31"/>
      <c r="F9" s="30"/>
    </row>
    <row r="10">
      <c r="A10" s="40" t="s">
        <v>145</v>
      </c>
      <c r="B10" s="30" t="s">
        <v>146</v>
      </c>
      <c r="C10" s="31">
        <v>0.0</v>
      </c>
      <c r="D10" s="31">
        <v>5.0</v>
      </c>
      <c r="E10" s="31"/>
      <c r="F10" s="30"/>
    </row>
    <row r="11">
      <c r="A11" s="40" t="s">
        <v>145</v>
      </c>
      <c r="B11" s="30" t="s">
        <v>147</v>
      </c>
      <c r="C11" s="31">
        <v>0.0</v>
      </c>
      <c r="D11" s="31">
        <v>15.0</v>
      </c>
      <c r="E11" s="31"/>
      <c r="F11" s="30"/>
    </row>
    <row r="12">
      <c r="A12" s="40" t="s">
        <v>145</v>
      </c>
      <c r="B12" s="30" t="s">
        <v>148</v>
      </c>
      <c r="C12" s="31">
        <v>0.0</v>
      </c>
      <c r="D12" s="31">
        <v>30.0</v>
      </c>
      <c r="E12" s="31"/>
      <c r="F12" s="30"/>
    </row>
    <row r="13">
      <c r="A13" s="41" t="s">
        <v>149</v>
      </c>
      <c r="B13" s="30" t="s">
        <v>150</v>
      </c>
      <c r="C13" s="31">
        <v>100.0</v>
      </c>
      <c r="D13" s="31">
        <v>20.0</v>
      </c>
      <c r="E13" s="31" t="s">
        <v>151</v>
      </c>
      <c r="F13" s="30" t="s">
        <v>152</v>
      </c>
    </row>
    <row r="14">
      <c r="A14" s="41" t="s">
        <v>149</v>
      </c>
      <c r="B14" s="30" t="s">
        <v>153</v>
      </c>
      <c r="C14" s="31">
        <v>200.0</v>
      </c>
      <c r="D14" s="31">
        <v>40.0</v>
      </c>
      <c r="E14" s="31" t="s">
        <v>151</v>
      </c>
      <c r="F14" s="30"/>
    </row>
    <row r="15">
      <c r="A15" s="41" t="s">
        <v>149</v>
      </c>
      <c r="B15" s="30" t="s">
        <v>154</v>
      </c>
      <c r="C15" s="31">
        <v>500.0</v>
      </c>
      <c r="D15" s="31">
        <v>100.0</v>
      </c>
      <c r="E15" s="31" t="s">
        <v>151</v>
      </c>
      <c r="F15" s="30"/>
    </row>
    <row r="17">
      <c r="A17" s="17" t="s">
        <v>155</v>
      </c>
      <c r="B17" s="9"/>
      <c r="C17" s="9"/>
      <c r="D17" s="9"/>
      <c r="E17" s="9"/>
      <c r="F17" s="10"/>
    </row>
    <row r="18">
      <c r="A18" s="18" t="s">
        <v>61</v>
      </c>
      <c r="B18" s="18" t="s">
        <v>135</v>
      </c>
      <c r="C18" s="18" t="s">
        <v>48</v>
      </c>
      <c r="D18" s="18" t="s">
        <v>68</v>
      </c>
      <c r="E18" s="18" t="s">
        <v>30</v>
      </c>
      <c r="F18" s="18" t="s">
        <v>33</v>
      </c>
    </row>
    <row r="19">
      <c r="A19" s="12"/>
      <c r="B19" s="22"/>
      <c r="C19" s="12"/>
      <c r="D19" s="22"/>
      <c r="E19" s="12"/>
      <c r="F19" s="12"/>
    </row>
    <row r="20">
      <c r="A20" s="12"/>
      <c r="B20" s="22"/>
      <c r="C20" s="12"/>
      <c r="D20" s="22"/>
      <c r="E20" s="12"/>
      <c r="F20" s="12"/>
    </row>
    <row r="21" ht="15.75" customHeight="1">
      <c r="A21" s="12"/>
      <c r="B21" s="22"/>
      <c r="C21" s="12"/>
      <c r="D21" s="22"/>
      <c r="E21" s="12"/>
      <c r="F21" s="12"/>
    </row>
    <row r="22" ht="15.75" customHeight="1">
      <c r="A22" s="12"/>
      <c r="B22" s="22"/>
      <c r="C22" s="12"/>
      <c r="D22" s="22"/>
      <c r="E22" s="12"/>
      <c r="F22" s="12"/>
    </row>
    <row r="23" ht="15.75" customHeight="1">
      <c r="A23" s="12"/>
      <c r="B23" s="22"/>
      <c r="C23" s="12"/>
      <c r="D23" s="22"/>
      <c r="E23" s="12"/>
      <c r="F23" s="12"/>
    </row>
    <row r="24" ht="15.75" customHeight="1">
      <c r="A24" s="12"/>
      <c r="B24" s="22"/>
      <c r="C24" s="12"/>
      <c r="D24" s="22"/>
      <c r="E24" s="12"/>
      <c r="F24" s="12"/>
    </row>
    <row r="25" ht="15.75" customHeight="1">
      <c r="A25" s="12"/>
      <c r="B25" s="22"/>
      <c r="C25" s="12"/>
      <c r="D25" s="22"/>
      <c r="E25" s="12"/>
      <c r="F25" s="12"/>
    </row>
    <row r="26" ht="15.75" customHeight="1">
      <c r="A26" s="12"/>
      <c r="B26" s="22"/>
      <c r="C26" s="12"/>
      <c r="D26" s="22"/>
      <c r="E26" s="12"/>
      <c r="F26" s="12"/>
    </row>
    <row r="27" ht="15.75" customHeight="1">
      <c r="A27" s="12"/>
      <c r="B27" s="22"/>
      <c r="C27" s="12"/>
      <c r="D27" s="22"/>
      <c r="E27" s="12"/>
      <c r="F27" s="12"/>
    </row>
    <row r="28" ht="15.75" customHeight="1">
      <c r="A28" s="12"/>
      <c r="B28" s="22"/>
      <c r="C28" s="12"/>
      <c r="D28" s="22"/>
      <c r="E28" s="12"/>
      <c r="F28" s="12"/>
    </row>
    <row r="29" ht="15.75" customHeight="1">
      <c r="A29" s="12"/>
      <c r="B29" s="22"/>
      <c r="C29" s="12"/>
      <c r="D29" s="22"/>
      <c r="E29" s="12"/>
      <c r="F29" s="12"/>
    </row>
    <row r="30" ht="15.75" customHeight="1">
      <c r="A30" s="12"/>
      <c r="B30" s="22"/>
      <c r="C30" s="12"/>
      <c r="D30" s="22"/>
      <c r="E30" s="12"/>
      <c r="F30" s="12"/>
    </row>
    <row r="31" ht="15.75" customHeight="1">
      <c r="A31" s="12"/>
      <c r="B31" s="22"/>
      <c r="C31" s="12"/>
      <c r="D31" s="22"/>
      <c r="E31" s="12"/>
      <c r="F31" s="12"/>
    </row>
    <row r="32" ht="15.75" customHeight="1">
      <c r="A32" s="12"/>
      <c r="B32" s="22"/>
      <c r="C32" s="12"/>
      <c r="D32" s="22"/>
      <c r="E32" s="12"/>
      <c r="F32" s="12"/>
    </row>
    <row r="33" ht="15.75" customHeight="1">
      <c r="A33" s="12"/>
      <c r="B33" s="22"/>
      <c r="C33" s="12"/>
      <c r="D33" s="22"/>
      <c r="E33" s="12"/>
      <c r="F33" s="12"/>
    </row>
    <row r="34" ht="15.75" customHeight="1">
      <c r="A34" s="12"/>
      <c r="B34" s="22"/>
      <c r="C34" s="12"/>
      <c r="D34" s="22"/>
      <c r="E34" s="12"/>
      <c r="F34" s="12"/>
    </row>
    <row r="35" ht="15.75" customHeight="1">
      <c r="A35" s="12"/>
      <c r="B35" s="22"/>
      <c r="C35" s="12"/>
      <c r="D35" s="22"/>
      <c r="E35" s="12"/>
      <c r="F35" s="12"/>
    </row>
    <row r="36" ht="15.75" customHeight="1">
      <c r="A36" s="12"/>
      <c r="B36" s="22"/>
      <c r="C36" s="12"/>
      <c r="D36" s="22"/>
      <c r="E36" s="12"/>
      <c r="F36" s="12"/>
    </row>
    <row r="37" ht="15.75" customHeight="1">
      <c r="A37" s="12"/>
      <c r="B37" s="22"/>
      <c r="C37" s="12"/>
      <c r="D37" s="22"/>
      <c r="E37" s="12"/>
      <c r="F37" s="12"/>
    </row>
    <row r="38" ht="15.75" customHeight="1">
      <c r="A38" s="12"/>
      <c r="B38" s="22"/>
      <c r="C38" s="12"/>
      <c r="D38" s="22"/>
      <c r="E38" s="12"/>
      <c r="F38" s="12"/>
    </row>
    <row r="39" ht="15.75" customHeight="1">
      <c r="A39" s="12"/>
      <c r="B39" s="22"/>
      <c r="C39" s="12"/>
      <c r="D39" s="22"/>
      <c r="E39" s="12"/>
      <c r="F39" s="12"/>
    </row>
    <row r="40" ht="15.75" customHeight="1">
      <c r="A40" s="12"/>
      <c r="B40" s="22"/>
      <c r="C40" s="12"/>
      <c r="D40" s="22"/>
      <c r="E40" s="12"/>
      <c r="F40" s="12"/>
    </row>
    <row r="41" ht="15.75" customHeight="1">
      <c r="A41" s="12"/>
      <c r="B41" s="22"/>
      <c r="C41" s="12"/>
      <c r="D41" s="22"/>
      <c r="E41" s="12"/>
      <c r="F41" s="12"/>
    </row>
    <row r="42" ht="15.75" customHeight="1">
      <c r="A42" s="12"/>
      <c r="B42" s="22"/>
      <c r="C42" s="12"/>
      <c r="D42" s="22"/>
      <c r="E42" s="12"/>
      <c r="F42" s="12"/>
    </row>
    <row r="43" ht="15.75" customHeight="1">
      <c r="A43" s="12"/>
      <c r="B43" s="22"/>
      <c r="C43" s="12"/>
      <c r="D43" s="22"/>
      <c r="E43" s="12"/>
      <c r="F43" s="12"/>
    </row>
    <row r="44" ht="15.75" customHeight="1">
      <c r="A44" s="12"/>
      <c r="B44" s="22"/>
      <c r="C44" s="12"/>
      <c r="D44" s="22"/>
      <c r="E44" s="12"/>
      <c r="F44" s="12"/>
    </row>
    <row r="45" ht="15.75" customHeight="1">
      <c r="A45" s="12"/>
      <c r="B45" s="22"/>
      <c r="C45" s="12"/>
      <c r="D45" s="22"/>
      <c r="E45" s="12"/>
      <c r="F45" s="12"/>
    </row>
    <row r="46" ht="15.75" customHeight="1">
      <c r="A46" s="12"/>
      <c r="B46" s="22"/>
      <c r="C46" s="12"/>
      <c r="D46" s="22"/>
      <c r="E46" s="12"/>
      <c r="F46" s="12"/>
    </row>
    <row r="47" ht="15.75" customHeight="1">
      <c r="A47" s="12"/>
      <c r="B47" s="22"/>
      <c r="C47" s="12"/>
      <c r="D47" s="22"/>
      <c r="E47" s="12"/>
      <c r="F47" s="12"/>
    </row>
    <row r="48" ht="15.75" customHeight="1">
      <c r="A48" s="12"/>
      <c r="B48" s="22"/>
      <c r="C48" s="12"/>
      <c r="D48" s="22"/>
      <c r="E48" s="12"/>
      <c r="F48" s="12"/>
    </row>
    <row r="49" ht="15.75" customHeight="1">
      <c r="A49" s="12"/>
      <c r="B49" s="22"/>
      <c r="C49" s="12"/>
      <c r="D49" s="22"/>
      <c r="E49" s="12"/>
      <c r="F49" s="12"/>
    </row>
    <row r="50" ht="15.75" customHeight="1">
      <c r="A50" s="12"/>
      <c r="B50" s="22"/>
      <c r="C50" s="12"/>
      <c r="D50" s="22"/>
      <c r="E50" s="12"/>
      <c r="F50" s="12"/>
    </row>
    <row r="51" ht="15.75" customHeight="1">
      <c r="A51" s="12"/>
      <c r="B51" s="22"/>
      <c r="C51" s="12"/>
      <c r="D51" s="22"/>
      <c r="E51" s="12"/>
      <c r="F51" s="12"/>
    </row>
    <row r="52" ht="15.75" customHeight="1">
      <c r="A52" s="12"/>
      <c r="B52" s="22"/>
      <c r="C52" s="12"/>
      <c r="D52" s="22"/>
      <c r="E52" s="12"/>
      <c r="F52" s="12"/>
    </row>
    <row r="53" ht="15.75" customHeight="1">
      <c r="A53" s="12"/>
      <c r="B53" s="22"/>
      <c r="C53" s="12"/>
      <c r="D53" s="22"/>
      <c r="E53" s="12"/>
      <c r="F53" s="12"/>
    </row>
    <row r="54" ht="15.75" customHeight="1">
      <c r="A54" s="12"/>
      <c r="B54" s="22"/>
      <c r="C54" s="12"/>
      <c r="D54" s="22"/>
      <c r="E54" s="12"/>
      <c r="F54" s="12"/>
    </row>
    <row r="55" ht="15.75" customHeight="1">
      <c r="A55" s="12"/>
      <c r="B55" s="22"/>
      <c r="C55" s="12"/>
      <c r="D55" s="22"/>
      <c r="E55" s="12"/>
      <c r="F55" s="12"/>
    </row>
    <row r="56" ht="15.75" customHeight="1">
      <c r="A56" s="12"/>
      <c r="B56" s="22"/>
      <c r="C56" s="12"/>
      <c r="D56" s="22"/>
      <c r="E56" s="12"/>
      <c r="F56" s="12"/>
    </row>
    <row r="57" ht="15.75" customHeight="1">
      <c r="A57" s="12"/>
      <c r="B57" s="22"/>
      <c r="C57" s="12"/>
      <c r="D57" s="22"/>
      <c r="E57" s="12"/>
      <c r="F57" s="12"/>
    </row>
    <row r="58" ht="15.75" customHeight="1">
      <c r="A58" s="12"/>
      <c r="B58" s="22"/>
      <c r="C58" s="12"/>
      <c r="D58" s="22"/>
      <c r="E58" s="12"/>
      <c r="F58" s="12"/>
    </row>
    <row r="59" ht="15.75" customHeight="1">
      <c r="A59" s="12"/>
      <c r="B59" s="22"/>
      <c r="C59" s="12"/>
      <c r="D59" s="22"/>
      <c r="E59" s="12"/>
      <c r="F59" s="12"/>
    </row>
    <row r="60" ht="15.75" customHeight="1">
      <c r="A60" s="12"/>
      <c r="B60" s="22"/>
      <c r="C60" s="12"/>
      <c r="D60" s="22"/>
      <c r="E60" s="12"/>
      <c r="F60" s="12"/>
    </row>
    <row r="61" ht="15.75" customHeight="1">
      <c r="A61" s="12"/>
      <c r="B61" s="22"/>
      <c r="C61" s="12"/>
      <c r="D61" s="22"/>
      <c r="E61" s="12"/>
      <c r="F61" s="12"/>
    </row>
    <row r="62" ht="15.75" customHeight="1">
      <c r="A62" s="12"/>
      <c r="B62" s="22"/>
      <c r="C62" s="12"/>
      <c r="D62" s="22"/>
      <c r="E62" s="12"/>
      <c r="F62" s="12"/>
    </row>
    <row r="63" ht="15.75" customHeight="1">
      <c r="A63" s="12"/>
      <c r="B63" s="22"/>
      <c r="C63" s="12"/>
      <c r="D63" s="22"/>
      <c r="E63" s="12"/>
      <c r="F63" s="12"/>
    </row>
    <row r="64" ht="15.75" customHeight="1">
      <c r="A64" s="12"/>
      <c r="B64" s="22"/>
      <c r="C64" s="12"/>
      <c r="D64" s="22"/>
      <c r="E64" s="12"/>
      <c r="F64" s="12"/>
    </row>
    <row r="65" ht="15.75" customHeight="1">
      <c r="A65" s="12"/>
      <c r="B65" s="22"/>
      <c r="C65" s="12"/>
      <c r="D65" s="22"/>
      <c r="E65" s="12"/>
      <c r="F65" s="12"/>
    </row>
    <row r="66" ht="15.75" customHeight="1">
      <c r="A66" s="12"/>
      <c r="B66" s="22"/>
      <c r="C66" s="12"/>
      <c r="D66" s="22"/>
      <c r="E66" s="12"/>
      <c r="F66" s="12"/>
    </row>
    <row r="67" ht="15.75" customHeight="1">
      <c r="A67" s="12"/>
      <c r="B67" s="22"/>
      <c r="C67" s="12"/>
      <c r="D67" s="22"/>
      <c r="E67" s="12"/>
      <c r="F67" s="12"/>
    </row>
    <row r="68" ht="15.75" customHeight="1">
      <c r="A68" s="12"/>
      <c r="B68" s="22"/>
      <c r="C68" s="12"/>
      <c r="D68" s="22"/>
      <c r="E68" s="12"/>
      <c r="F68" s="12"/>
    </row>
    <row r="69" ht="15.75" customHeight="1">
      <c r="A69" s="12"/>
      <c r="B69" s="22"/>
      <c r="C69" s="12"/>
      <c r="D69" s="22"/>
      <c r="E69" s="12"/>
      <c r="F69" s="12"/>
    </row>
    <row r="70" ht="15.75" customHeight="1">
      <c r="A70" s="12"/>
      <c r="B70" s="22"/>
      <c r="C70" s="12"/>
      <c r="D70" s="22"/>
      <c r="E70" s="12"/>
      <c r="F70" s="12"/>
    </row>
    <row r="71" ht="15.75" customHeight="1">
      <c r="A71" s="12"/>
      <c r="B71" s="22"/>
      <c r="C71" s="12"/>
      <c r="D71" s="22"/>
      <c r="E71" s="12"/>
      <c r="F71" s="12"/>
    </row>
    <row r="72" ht="15.75" customHeight="1">
      <c r="A72" s="12"/>
      <c r="B72" s="22"/>
      <c r="C72" s="12"/>
      <c r="D72" s="22"/>
      <c r="E72" s="12"/>
      <c r="F72" s="12"/>
    </row>
    <row r="73" ht="15.75" customHeight="1">
      <c r="A73" s="12"/>
      <c r="B73" s="22"/>
      <c r="C73" s="12"/>
      <c r="D73" s="22"/>
      <c r="E73" s="12"/>
      <c r="F73" s="12"/>
    </row>
    <row r="74" ht="15.75" customHeight="1">
      <c r="A74" s="12"/>
      <c r="B74" s="22"/>
      <c r="C74" s="12"/>
      <c r="D74" s="22"/>
      <c r="E74" s="12"/>
      <c r="F74" s="12"/>
    </row>
    <row r="75" ht="15.75" customHeight="1">
      <c r="A75" s="12"/>
      <c r="B75" s="22"/>
      <c r="C75" s="12"/>
      <c r="D75" s="22"/>
      <c r="E75" s="12"/>
      <c r="F75" s="12"/>
    </row>
    <row r="76" ht="15.75" customHeight="1">
      <c r="A76" s="12"/>
      <c r="B76" s="22"/>
      <c r="C76" s="12"/>
      <c r="D76" s="22"/>
      <c r="E76" s="12"/>
      <c r="F76" s="12"/>
    </row>
    <row r="77" ht="15.75" customHeight="1">
      <c r="A77" s="12"/>
      <c r="B77" s="22"/>
      <c r="C77" s="12"/>
      <c r="D77" s="22"/>
      <c r="E77" s="12"/>
      <c r="F77" s="12"/>
    </row>
    <row r="78" ht="15.75" customHeight="1">
      <c r="A78" s="12"/>
      <c r="B78" s="22"/>
      <c r="C78" s="12"/>
      <c r="D78" s="22"/>
      <c r="E78" s="12"/>
      <c r="F78" s="12"/>
    </row>
    <row r="79" ht="15.75" customHeight="1">
      <c r="A79" s="12"/>
      <c r="B79" s="22"/>
      <c r="C79" s="12"/>
      <c r="D79" s="22"/>
      <c r="E79" s="12"/>
      <c r="F79" s="12"/>
    </row>
    <row r="80" ht="15.75" customHeight="1">
      <c r="A80" s="12"/>
      <c r="B80" s="22"/>
      <c r="C80" s="12"/>
      <c r="D80" s="22"/>
      <c r="E80" s="12"/>
      <c r="F80" s="12"/>
    </row>
    <row r="81" ht="15.75" customHeight="1">
      <c r="A81" s="12"/>
      <c r="B81" s="22"/>
      <c r="C81" s="12"/>
      <c r="D81" s="22"/>
      <c r="E81" s="12"/>
      <c r="F81" s="12"/>
    </row>
    <row r="82" ht="15.75" customHeight="1">
      <c r="A82" s="12"/>
      <c r="B82" s="22"/>
      <c r="C82" s="12"/>
      <c r="D82" s="22"/>
      <c r="E82" s="12"/>
      <c r="F82" s="12"/>
    </row>
    <row r="83" ht="15.75" customHeight="1">
      <c r="A83" s="12"/>
      <c r="B83" s="22"/>
      <c r="C83" s="12"/>
      <c r="D83" s="22"/>
      <c r="E83" s="12"/>
      <c r="F83" s="12"/>
    </row>
    <row r="84" ht="15.75" customHeight="1">
      <c r="A84" s="12"/>
      <c r="B84" s="22"/>
      <c r="C84" s="12"/>
      <c r="D84" s="22"/>
      <c r="E84" s="12"/>
      <c r="F84" s="12"/>
    </row>
    <row r="85" ht="15.75" customHeight="1">
      <c r="A85" s="12"/>
      <c r="B85" s="22"/>
      <c r="C85" s="12"/>
      <c r="D85" s="22"/>
      <c r="E85" s="12"/>
      <c r="F85" s="12"/>
    </row>
    <row r="86" ht="15.75" customHeight="1">
      <c r="A86" s="12"/>
      <c r="B86" s="22"/>
      <c r="C86" s="12"/>
      <c r="D86" s="22"/>
      <c r="E86" s="12"/>
      <c r="F86" s="12"/>
    </row>
    <row r="87" ht="15.75" customHeight="1">
      <c r="A87" s="12"/>
      <c r="B87" s="22"/>
      <c r="C87" s="12"/>
      <c r="D87" s="22"/>
      <c r="E87" s="12"/>
      <c r="F87" s="12"/>
    </row>
    <row r="88" ht="15.75" customHeight="1">
      <c r="A88" s="12"/>
      <c r="B88" s="22"/>
      <c r="C88" s="12"/>
      <c r="D88" s="22"/>
      <c r="E88" s="12"/>
      <c r="F88" s="12"/>
    </row>
    <row r="89" ht="15.75" customHeight="1">
      <c r="A89" s="12"/>
      <c r="B89" s="22"/>
      <c r="C89" s="12"/>
      <c r="D89" s="22"/>
      <c r="E89" s="12"/>
      <c r="F89" s="12"/>
    </row>
    <row r="90" ht="15.75" customHeight="1">
      <c r="A90" s="12"/>
      <c r="B90" s="22"/>
      <c r="C90" s="12"/>
      <c r="D90" s="22"/>
      <c r="E90" s="12"/>
      <c r="F90" s="12"/>
    </row>
    <row r="91" ht="15.75" customHeight="1">
      <c r="A91" s="12"/>
      <c r="B91" s="22"/>
      <c r="C91" s="12"/>
      <c r="D91" s="22"/>
      <c r="E91" s="12"/>
      <c r="F91" s="12"/>
    </row>
    <row r="92" ht="15.75" customHeight="1">
      <c r="A92" s="12"/>
      <c r="B92" s="22"/>
      <c r="C92" s="12"/>
      <c r="D92" s="22"/>
      <c r="E92" s="12"/>
      <c r="F92" s="12"/>
    </row>
    <row r="93" ht="15.75" customHeight="1">
      <c r="A93" s="12"/>
      <c r="B93" s="22"/>
      <c r="C93" s="12"/>
      <c r="D93" s="22"/>
      <c r="E93" s="12"/>
      <c r="F93" s="12"/>
    </row>
    <row r="94" ht="15.75" customHeight="1">
      <c r="A94" s="12"/>
      <c r="B94" s="22"/>
      <c r="C94" s="12"/>
      <c r="D94" s="22"/>
      <c r="E94" s="12"/>
      <c r="F94" s="12"/>
    </row>
    <row r="95" ht="15.75" customHeight="1">
      <c r="A95" s="12"/>
      <c r="B95" s="22"/>
      <c r="C95" s="12"/>
      <c r="D95" s="22"/>
      <c r="E95" s="12"/>
      <c r="F95" s="12"/>
    </row>
    <row r="96" ht="15.75" customHeight="1">
      <c r="A96" s="12"/>
      <c r="B96" s="22"/>
      <c r="C96" s="12"/>
      <c r="D96" s="22"/>
      <c r="E96" s="12"/>
      <c r="F96" s="12"/>
    </row>
    <row r="97" ht="15.75" customHeight="1">
      <c r="A97" s="12"/>
      <c r="B97" s="22"/>
      <c r="C97" s="12"/>
      <c r="D97" s="22"/>
      <c r="E97" s="12"/>
      <c r="F97" s="12"/>
    </row>
    <row r="98" ht="15.75" customHeight="1">
      <c r="A98" s="12"/>
      <c r="B98" s="22"/>
      <c r="C98" s="12"/>
      <c r="D98" s="22"/>
      <c r="E98" s="12"/>
      <c r="F98" s="12"/>
    </row>
    <row r="99" ht="15.75" customHeight="1">
      <c r="A99" s="12"/>
      <c r="B99" s="22"/>
      <c r="C99" s="12"/>
      <c r="D99" s="22"/>
      <c r="E99" s="12"/>
      <c r="F99" s="12"/>
    </row>
    <row r="100" ht="15.75" customHeight="1">
      <c r="A100" s="12"/>
      <c r="B100" s="22"/>
      <c r="C100" s="12"/>
      <c r="D100" s="22"/>
      <c r="E100" s="12"/>
      <c r="F100" s="12"/>
    </row>
    <row r="101" ht="15.75" customHeight="1">
      <c r="A101" s="12"/>
      <c r="B101" s="22"/>
      <c r="C101" s="12"/>
      <c r="D101" s="22"/>
      <c r="E101" s="12"/>
      <c r="F101" s="12"/>
    </row>
    <row r="102" ht="15.75" customHeight="1">
      <c r="A102" s="12"/>
      <c r="B102" s="22"/>
      <c r="C102" s="12"/>
      <c r="D102" s="22"/>
      <c r="E102" s="12"/>
      <c r="F102" s="12"/>
    </row>
    <row r="103" ht="15.75" customHeight="1">
      <c r="A103" s="12"/>
      <c r="B103" s="22"/>
      <c r="C103" s="12"/>
      <c r="D103" s="22"/>
      <c r="E103" s="12"/>
      <c r="F103" s="12"/>
    </row>
    <row r="104" ht="15.75" customHeight="1">
      <c r="A104" s="12"/>
      <c r="B104" s="22"/>
      <c r="C104" s="12"/>
      <c r="D104" s="22"/>
      <c r="E104" s="12"/>
      <c r="F104" s="12"/>
    </row>
    <row r="105" ht="15.75" customHeight="1">
      <c r="A105" s="12"/>
      <c r="B105" s="22"/>
      <c r="C105" s="12"/>
      <c r="D105" s="22"/>
      <c r="E105" s="12"/>
      <c r="F105" s="12"/>
    </row>
    <row r="106" ht="15.75" customHeight="1">
      <c r="A106" s="12"/>
      <c r="B106" s="22"/>
      <c r="C106" s="12"/>
      <c r="D106" s="22"/>
      <c r="E106" s="12"/>
      <c r="F106" s="12"/>
    </row>
    <row r="107" ht="15.75" customHeight="1">
      <c r="A107" s="12"/>
      <c r="B107" s="22"/>
      <c r="C107" s="12"/>
      <c r="D107" s="22"/>
      <c r="E107" s="12"/>
      <c r="F107" s="12"/>
    </row>
    <row r="108" ht="15.75" customHeight="1">
      <c r="A108" s="12"/>
      <c r="B108" s="22"/>
      <c r="C108" s="12"/>
      <c r="D108" s="22"/>
      <c r="E108" s="12"/>
      <c r="F108" s="12"/>
    </row>
    <row r="109" ht="15.75" customHeight="1">
      <c r="A109" s="12"/>
      <c r="B109" s="22"/>
      <c r="C109" s="12"/>
      <c r="D109" s="22"/>
      <c r="E109" s="12"/>
      <c r="F109" s="12"/>
    </row>
    <row r="110" ht="15.75" customHeight="1">
      <c r="A110" s="12"/>
      <c r="B110" s="22"/>
      <c r="C110" s="12"/>
      <c r="D110" s="22"/>
      <c r="E110" s="12"/>
      <c r="F110" s="12"/>
    </row>
    <row r="111" ht="15.75" customHeight="1">
      <c r="A111" s="12"/>
      <c r="B111" s="22"/>
      <c r="C111" s="12"/>
      <c r="D111" s="22"/>
      <c r="E111" s="12"/>
      <c r="F111" s="12"/>
    </row>
    <row r="112" ht="15.75" customHeight="1">
      <c r="A112" s="12"/>
      <c r="B112" s="22"/>
      <c r="C112" s="12"/>
      <c r="D112" s="22"/>
      <c r="E112" s="12"/>
      <c r="F112" s="12"/>
    </row>
    <row r="113" ht="15.75" customHeight="1">
      <c r="A113" s="12"/>
      <c r="B113" s="22"/>
      <c r="C113" s="12"/>
      <c r="D113" s="22"/>
      <c r="E113" s="12"/>
      <c r="F113" s="12"/>
    </row>
    <row r="114" ht="15.75" customHeight="1">
      <c r="A114" s="12"/>
      <c r="B114" s="22"/>
      <c r="C114" s="12"/>
      <c r="D114" s="22"/>
      <c r="E114" s="12"/>
      <c r="F114" s="12"/>
    </row>
    <row r="115" ht="15.75" customHeight="1">
      <c r="A115" s="12"/>
      <c r="B115" s="22"/>
      <c r="C115" s="12"/>
      <c r="D115" s="22"/>
      <c r="E115" s="12"/>
      <c r="F115" s="12"/>
    </row>
    <row r="116" ht="15.75" customHeight="1">
      <c r="A116" s="12"/>
      <c r="B116" s="22"/>
      <c r="C116" s="12"/>
      <c r="D116" s="22"/>
      <c r="E116" s="12"/>
      <c r="F116" s="12"/>
    </row>
    <row r="117" ht="15.75" customHeight="1">
      <c r="A117" s="12"/>
      <c r="B117" s="22"/>
      <c r="C117" s="12"/>
      <c r="D117" s="22"/>
      <c r="E117" s="12"/>
      <c r="F117" s="12"/>
    </row>
    <row r="118" ht="15.75" customHeight="1">
      <c r="A118" s="12"/>
      <c r="B118" s="22"/>
      <c r="C118" s="12"/>
      <c r="D118" s="22"/>
      <c r="E118" s="12"/>
      <c r="F118" s="12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17:F17"/>
  </mergeCells>
  <dataValidations>
    <dataValidation type="list" allowBlank="1" sqref="C19:C118">
      <formula1>"Recovery,Investment,Experience"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25.0"/>
    <col customWidth="1" min="3" max="3" width="50.0"/>
    <col customWidth="1" min="4" max="4" width="25.0"/>
    <col customWidth="1" min="5" max="26" width="8.71"/>
  </cols>
  <sheetData>
    <row r="1">
      <c r="A1" s="1" t="s">
        <v>156</v>
      </c>
    </row>
    <row r="2">
      <c r="A2" s="2" t="s">
        <v>157</v>
      </c>
    </row>
    <row r="4">
      <c r="A4" s="8" t="s">
        <v>158</v>
      </c>
      <c r="B4" s="9"/>
      <c r="C4" s="9"/>
      <c r="D4" s="10"/>
    </row>
    <row r="5">
      <c r="A5" s="19" t="s">
        <v>159</v>
      </c>
      <c r="B5" s="19" t="s">
        <v>160</v>
      </c>
      <c r="C5" s="19" t="s">
        <v>71</v>
      </c>
      <c r="D5" s="19" t="s">
        <v>68</v>
      </c>
    </row>
    <row r="6">
      <c r="A6" s="22" t="s">
        <v>161</v>
      </c>
      <c r="B6" s="12" t="s">
        <v>162</v>
      </c>
      <c r="C6" s="12" t="s">
        <v>163</v>
      </c>
      <c r="D6" s="22" t="s">
        <v>164</v>
      </c>
    </row>
    <row r="7">
      <c r="A7" s="22" t="s">
        <v>165</v>
      </c>
      <c r="B7" s="12" t="s">
        <v>166</v>
      </c>
      <c r="C7" s="12" t="s">
        <v>167</v>
      </c>
      <c r="D7" s="22" t="s">
        <v>168</v>
      </c>
    </row>
    <row r="8">
      <c r="A8" s="22" t="s">
        <v>169</v>
      </c>
      <c r="B8" s="12" t="s">
        <v>166</v>
      </c>
      <c r="C8" s="12" t="s">
        <v>170</v>
      </c>
      <c r="D8" s="22" t="s">
        <v>171</v>
      </c>
    </row>
    <row r="9">
      <c r="A9" s="22" t="s">
        <v>172</v>
      </c>
      <c r="B9" s="12" t="s">
        <v>173</v>
      </c>
      <c r="C9" s="12" t="s">
        <v>170</v>
      </c>
      <c r="D9" s="22" t="s">
        <v>174</v>
      </c>
    </row>
    <row r="10">
      <c r="A10" s="22" t="s">
        <v>175</v>
      </c>
      <c r="B10" s="12" t="s">
        <v>170</v>
      </c>
      <c r="C10" s="12" t="s">
        <v>170</v>
      </c>
      <c r="D10" s="22" t="s">
        <v>176</v>
      </c>
    </row>
    <row r="12">
      <c r="A12" s="17" t="s">
        <v>177</v>
      </c>
      <c r="B12" s="9"/>
      <c r="C12" s="9"/>
      <c r="D12" s="10"/>
    </row>
    <row r="13" ht="19.5" customHeight="1">
      <c r="A13" s="42" t="s">
        <v>178</v>
      </c>
    </row>
    <row r="14" ht="19.5" customHeight="1">
      <c r="A14" s="42" t="s">
        <v>179</v>
      </c>
    </row>
    <row r="15" ht="19.5" customHeight="1">
      <c r="A15" s="42" t="s">
        <v>180</v>
      </c>
    </row>
    <row r="16" ht="19.5" customHeight="1">
      <c r="A16" s="42" t="s">
        <v>181</v>
      </c>
    </row>
    <row r="17" ht="19.5" customHeight="1">
      <c r="A17" s="42" t="s">
        <v>182</v>
      </c>
    </row>
    <row r="18" ht="19.5" customHeight="1">
      <c r="A18" s="42" t="s">
        <v>183</v>
      </c>
    </row>
    <row r="20">
      <c r="A20" s="14" t="s">
        <v>184</v>
      </c>
      <c r="B20" s="9"/>
      <c r="C20" s="9"/>
      <c r="D20" s="10"/>
    </row>
    <row r="21" ht="15.75" customHeight="1">
      <c r="A21" s="43" t="s">
        <v>185</v>
      </c>
      <c r="B21" s="9"/>
      <c r="C21" s="9"/>
      <c r="D21" s="10"/>
    </row>
    <row r="22" ht="27.75" customHeight="1">
      <c r="A22" s="44" t="s">
        <v>186</v>
      </c>
      <c r="B22" s="9"/>
      <c r="C22" s="9"/>
      <c r="D22" s="10"/>
    </row>
    <row r="23" ht="15.75" customHeight="1">
      <c r="A23" s="43" t="s">
        <v>187</v>
      </c>
      <c r="B23" s="9"/>
      <c r="C23" s="9"/>
      <c r="D23" s="10"/>
    </row>
    <row r="24" ht="27.75" customHeight="1">
      <c r="A24" s="44" t="s">
        <v>188</v>
      </c>
      <c r="B24" s="9"/>
      <c r="C24" s="9"/>
      <c r="D24" s="10"/>
    </row>
    <row r="25" ht="15.75" customHeight="1">
      <c r="A25" s="43" t="s">
        <v>189</v>
      </c>
      <c r="B25" s="9"/>
      <c r="C25" s="9"/>
      <c r="D25" s="10"/>
    </row>
    <row r="26" ht="27.75" customHeight="1">
      <c r="A26" s="44" t="s">
        <v>190</v>
      </c>
      <c r="B26" s="9"/>
      <c r="C26" s="9"/>
      <c r="D26" s="10"/>
    </row>
    <row r="27" ht="15.75" customHeight="1"/>
    <row r="28" ht="15.75" customHeight="1">
      <c r="A28" s="14" t="s">
        <v>191</v>
      </c>
      <c r="B28" s="9"/>
      <c r="C28" s="9"/>
      <c r="D28" s="10"/>
    </row>
    <row r="29" ht="36.0" customHeight="1">
      <c r="A29" s="45" t="s">
        <v>192</v>
      </c>
    </row>
    <row r="30" ht="19.5" customHeight="1">
      <c r="A30" s="46" t="s">
        <v>44</v>
      </c>
      <c r="B30" s="9"/>
      <c r="C30" s="9"/>
      <c r="D30" s="10"/>
    </row>
    <row r="31" ht="15.75" customHeight="1">
      <c r="A31" s="47" t="s">
        <v>193</v>
      </c>
      <c r="C31" s="48" t="s">
        <v>194</v>
      </c>
    </row>
    <row r="32" ht="27.75" customHeight="1">
      <c r="A32" s="49" t="s">
        <v>195</v>
      </c>
      <c r="C32" s="49" t="s">
        <v>196</v>
      </c>
    </row>
    <row r="33" ht="27.75" customHeight="1">
      <c r="A33" s="49" t="s">
        <v>197</v>
      </c>
      <c r="C33" s="49" t="s">
        <v>198</v>
      </c>
    </row>
    <row r="34" ht="27.75" customHeight="1">
      <c r="A34" s="49" t="s">
        <v>199</v>
      </c>
      <c r="C34" s="49" t="s">
        <v>200</v>
      </c>
    </row>
    <row r="35" ht="27.75" customHeight="1">
      <c r="A35" s="49" t="s">
        <v>201</v>
      </c>
      <c r="C35" s="49" t="s">
        <v>202</v>
      </c>
    </row>
    <row r="36" ht="27.75" customHeight="1">
      <c r="A36" s="49" t="s">
        <v>203</v>
      </c>
      <c r="C36" s="49" t="s">
        <v>204</v>
      </c>
    </row>
    <row r="37" ht="27.75" customHeight="1">
      <c r="A37" s="49" t="s">
        <v>205</v>
      </c>
      <c r="C37" s="49" t="s">
        <v>206</v>
      </c>
    </row>
    <row r="38" ht="15.75" customHeight="1"/>
    <row r="39" ht="19.5" customHeight="1">
      <c r="A39" s="46" t="s">
        <v>45</v>
      </c>
      <c r="B39" s="9"/>
      <c r="C39" s="9"/>
      <c r="D39" s="10"/>
    </row>
    <row r="40" ht="15.75" customHeight="1">
      <c r="A40" s="47" t="s">
        <v>193</v>
      </c>
      <c r="C40" s="48" t="s">
        <v>194</v>
      </c>
    </row>
    <row r="41" ht="27.75" customHeight="1">
      <c r="A41" s="49" t="s">
        <v>195</v>
      </c>
      <c r="C41" s="49" t="s">
        <v>196</v>
      </c>
    </row>
    <row r="42" ht="27.75" customHeight="1">
      <c r="A42" s="49" t="s">
        <v>197</v>
      </c>
      <c r="C42" s="49" t="s">
        <v>198</v>
      </c>
    </row>
    <row r="43" ht="27.75" customHeight="1">
      <c r="A43" s="49" t="s">
        <v>199</v>
      </c>
      <c r="C43" s="49" t="s">
        <v>200</v>
      </c>
    </row>
    <row r="44" ht="27.75" customHeight="1">
      <c r="A44" s="49" t="s">
        <v>201</v>
      </c>
      <c r="C44" s="49" t="s">
        <v>202</v>
      </c>
    </row>
    <row r="45" ht="27.75" customHeight="1">
      <c r="A45" s="49" t="s">
        <v>203</v>
      </c>
      <c r="C45" s="49" t="s">
        <v>204</v>
      </c>
    </row>
    <row r="46" ht="27.75" customHeight="1">
      <c r="A46" s="49" t="s">
        <v>205</v>
      </c>
      <c r="C46" s="49" t="s">
        <v>206</v>
      </c>
    </row>
    <row r="47" ht="15.75" customHeight="1"/>
    <row r="48" ht="19.5" customHeight="1">
      <c r="A48" s="46" t="s">
        <v>46</v>
      </c>
      <c r="B48" s="9"/>
      <c r="C48" s="9"/>
      <c r="D48" s="10"/>
    </row>
    <row r="49" ht="15.75" customHeight="1">
      <c r="A49" s="47" t="s">
        <v>193</v>
      </c>
      <c r="C49" s="48" t="s">
        <v>194</v>
      </c>
    </row>
    <row r="50" ht="27.75" customHeight="1">
      <c r="A50" s="49" t="s">
        <v>195</v>
      </c>
      <c r="C50" s="49" t="s">
        <v>196</v>
      </c>
    </row>
    <row r="51" ht="27.75" customHeight="1">
      <c r="A51" s="49" t="s">
        <v>197</v>
      </c>
      <c r="C51" s="49" t="s">
        <v>198</v>
      </c>
    </row>
    <row r="52" ht="27.75" customHeight="1">
      <c r="A52" s="49" t="s">
        <v>199</v>
      </c>
      <c r="C52" s="49" t="s">
        <v>200</v>
      </c>
    </row>
    <row r="53" ht="27.75" customHeight="1">
      <c r="A53" s="49" t="s">
        <v>201</v>
      </c>
      <c r="C53" s="49" t="s">
        <v>202</v>
      </c>
    </row>
    <row r="54" ht="27.75" customHeight="1">
      <c r="A54" s="49" t="s">
        <v>203</v>
      </c>
      <c r="C54" s="49" t="s">
        <v>204</v>
      </c>
    </row>
    <row r="55" ht="27.75" customHeight="1">
      <c r="A55" s="49" t="s">
        <v>205</v>
      </c>
      <c r="C55" s="49" t="s">
        <v>206</v>
      </c>
    </row>
    <row r="56" ht="15.75" customHeight="1"/>
    <row r="57" ht="15.75" customHeight="1">
      <c r="A57" s="8" t="s">
        <v>207</v>
      </c>
      <c r="B57" s="9"/>
      <c r="C57" s="9"/>
      <c r="D57" s="10"/>
    </row>
    <row r="58" ht="19.5" customHeight="1">
      <c r="A58" s="42" t="s">
        <v>208</v>
      </c>
    </row>
    <row r="59" ht="19.5" customHeight="1">
      <c r="A59" s="42" t="s">
        <v>209</v>
      </c>
    </row>
    <row r="60" ht="19.5" customHeight="1">
      <c r="A60" s="42" t="s">
        <v>210</v>
      </c>
    </row>
    <row r="61" ht="19.5" customHeight="1">
      <c r="A61" s="42" t="s">
        <v>211</v>
      </c>
    </row>
    <row r="62" ht="19.5" customHeight="1">
      <c r="A62" s="42" t="s">
        <v>212</v>
      </c>
    </row>
    <row r="63" ht="19.5" customHeight="1">
      <c r="A63" s="42" t="s">
        <v>213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43:B43"/>
    <mergeCell ref="A44:B44"/>
    <mergeCell ref="A45:B45"/>
    <mergeCell ref="A46:B46"/>
    <mergeCell ref="C44:D44"/>
    <mergeCell ref="C45:D45"/>
    <mergeCell ref="C46:D46"/>
    <mergeCell ref="A48:D48"/>
    <mergeCell ref="A49:B49"/>
    <mergeCell ref="C49:D49"/>
    <mergeCell ref="C50:D50"/>
    <mergeCell ref="A60:D60"/>
    <mergeCell ref="A61:D61"/>
    <mergeCell ref="A62:D62"/>
    <mergeCell ref="A63:D63"/>
    <mergeCell ref="A54:B54"/>
    <mergeCell ref="C54:D54"/>
    <mergeCell ref="A55:B55"/>
    <mergeCell ref="C55:D55"/>
    <mergeCell ref="A57:D57"/>
    <mergeCell ref="A58:D58"/>
    <mergeCell ref="A59:D59"/>
    <mergeCell ref="A1:D1"/>
    <mergeCell ref="A2:D2"/>
    <mergeCell ref="A4:D4"/>
    <mergeCell ref="A12:D12"/>
    <mergeCell ref="A13:D13"/>
    <mergeCell ref="A14:D14"/>
    <mergeCell ref="A15:D15"/>
    <mergeCell ref="A16:D16"/>
    <mergeCell ref="A17:D17"/>
    <mergeCell ref="A18:D18"/>
    <mergeCell ref="A20:D20"/>
    <mergeCell ref="A21:D21"/>
    <mergeCell ref="A22:D22"/>
    <mergeCell ref="A23:D23"/>
    <mergeCell ref="A31:B31"/>
    <mergeCell ref="A32:B32"/>
    <mergeCell ref="A33:B33"/>
    <mergeCell ref="A34:B34"/>
    <mergeCell ref="A35:B35"/>
    <mergeCell ref="A36:B36"/>
    <mergeCell ref="A37:B37"/>
    <mergeCell ref="A24:D24"/>
    <mergeCell ref="A25:D25"/>
    <mergeCell ref="A26:D26"/>
    <mergeCell ref="A28:D28"/>
    <mergeCell ref="A29:D29"/>
    <mergeCell ref="A30:D30"/>
    <mergeCell ref="C31:D31"/>
    <mergeCell ref="C32:D32"/>
    <mergeCell ref="C33:D33"/>
    <mergeCell ref="C34:D34"/>
    <mergeCell ref="C35:D35"/>
    <mergeCell ref="C36:D36"/>
    <mergeCell ref="C37:D37"/>
    <mergeCell ref="A39:D39"/>
    <mergeCell ref="A40:B40"/>
    <mergeCell ref="C40:D40"/>
    <mergeCell ref="A41:B41"/>
    <mergeCell ref="C41:D41"/>
    <mergeCell ref="A42:B42"/>
    <mergeCell ref="C42:D42"/>
    <mergeCell ref="C43:D43"/>
    <mergeCell ref="A50:B50"/>
    <mergeCell ref="A51:B51"/>
    <mergeCell ref="C51:D51"/>
    <mergeCell ref="A52:B52"/>
    <mergeCell ref="C52:D52"/>
    <mergeCell ref="A53:B53"/>
    <mergeCell ref="C53:D53"/>
  </mergeCells>
  <printOptions/>
  <pageMargins bottom="1.0" footer="0.0" header="0.0" left="0.75" right="0.75" top="1.0"/>
  <pageSetup paperSize="9" orientation="portrait"/>
  <drawing r:id="rId1"/>
</worksheet>
</file>